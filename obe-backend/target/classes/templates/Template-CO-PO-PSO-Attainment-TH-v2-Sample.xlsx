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Dypiu\Downloads\"/>
    </mc:Choice>
  </mc:AlternateContent>
  <xr:revisionPtr revIDLastSave="0" documentId="13_ncr:1_{E245A9DD-3744-47D5-95A0-CE1D8BB0A4B7}" xr6:coauthVersionLast="47" xr6:coauthVersionMax="47" xr10:uidLastSave="{00000000-0000-0000-0000-000000000000}"/>
  <bookViews>
    <workbookView xWindow="-110" yWindow="-110" windowWidth="19420" windowHeight="11500" xr2:uid="{00000000-000D-0000-FFFF-FFFF00000000}"/>
  </bookViews>
  <sheets>
    <sheet name="Attainment-main" sheetId="1" r:id="rId1"/>
    <sheet name="PO mapping" sheetId="2" r:id="rId2"/>
    <sheet name="PSO mapping" sheetId="15" r:id="rId3"/>
    <sheet name="Examination" sheetId="13" r:id="rId4"/>
    <sheet name="Course End Survey" sheetId="10" r:id="rId5"/>
    <sheet name="Concurrent Assessment" sheetId="16" r:id="rId6"/>
    <sheet name="End Sem" sheetId="17" r:id="rId7"/>
    <sheet name="CO-wise evaluation" sheetId="1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10" l="1"/>
  <c r="D9" i="10" l="1"/>
  <c r="F9" i="10"/>
  <c r="G9" i="10"/>
  <c r="H9" i="10"/>
  <c r="C9" i="10"/>
  <c r="A36" i="1" l="1"/>
  <c r="P20" i="15" l="1"/>
  <c r="O20" i="15"/>
  <c r="N20" i="15"/>
  <c r="M20" i="15"/>
  <c r="L20" i="15"/>
  <c r="K20" i="15"/>
  <c r="P19" i="15"/>
  <c r="O19" i="15"/>
  <c r="N19" i="15"/>
  <c r="M19" i="15"/>
  <c r="L19" i="15"/>
  <c r="K19" i="15"/>
  <c r="P18" i="15"/>
  <c r="P21" i="15" s="1"/>
  <c r="P22" i="15" s="1"/>
  <c r="P23" i="15" s="1"/>
  <c r="O18" i="15"/>
  <c r="N18" i="15"/>
  <c r="N21" i="15" s="1"/>
  <c r="N22" i="15" s="1"/>
  <c r="N23" i="15" s="1"/>
  <c r="M18" i="15"/>
  <c r="M21" i="15" s="1"/>
  <c r="M22" i="15" s="1"/>
  <c r="M23" i="15" s="1"/>
  <c r="L18" i="15"/>
  <c r="L21" i="15" s="1"/>
  <c r="L22" i="15" s="1"/>
  <c r="L23" i="15" s="1"/>
  <c r="K18" i="15"/>
  <c r="P14" i="15"/>
  <c r="O14" i="15"/>
  <c r="N14" i="15"/>
  <c r="M14" i="15"/>
  <c r="L14" i="15"/>
  <c r="K14" i="15"/>
  <c r="P13" i="15"/>
  <c r="O13" i="15"/>
  <c r="N13" i="15"/>
  <c r="M13" i="15"/>
  <c r="L13" i="15"/>
  <c r="K13" i="15"/>
  <c r="P12" i="15"/>
  <c r="O12" i="15"/>
  <c r="N12" i="15"/>
  <c r="M12" i="15"/>
  <c r="L12" i="15"/>
  <c r="K12" i="15"/>
  <c r="P8" i="15"/>
  <c r="O8" i="15"/>
  <c r="N8" i="15"/>
  <c r="M8" i="15"/>
  <c r="L8" i="15"/>
  <c r="K8" i="15"/>
  <c r="P7" i="15"/>
  <c r="O7" i="15"/>
  <c r="N7" i="15"/>
  <c r="M7" i="15"/>
  <c r="L7" i="15"/>
  <c r="K7" i="15"/>
  <c r="P6" i="15"/>
  <c r="O6" i="15"/>
  <c r="O9" i="15" s="1"/>
  <c r="O10" i="15" s="1"/>
  <c r="O11" i="15" s="1"/>
  <c r="N6" i="15"/>
  <c r="N9" i="15" s="1"/>
  <c r="N10" i="15" s="1"/>
  <c r="N11" i="15" s="1"/>
  <c r="M6" i="15"/>
  <c r="M9" i="15" s="1"/>
  <c r="M10" i="15" s="1"/>
  <c r="M11" i="15" s="1"/>
  <c r="L6" i="15"/>
  <c r="L9" i="15" s="1"/>
  <c r="L10" i="15" s="1"/>
  <c r="L11" i="15" s="1"/>
  <c r="K6" i="15"/>
  <c r="K9" i="15" s="1"/>
  <c r="K10" i="15" s="1"/>
  <c r="K11" i="15" s="1"/>
  <c r="P74" i="2"/>
  <c r="O74" i="2"/>
  <c r="N74" i="2"/>
  <c r="M74" i="2"/>
  <c r="L74" i="2"/>
  <c r="K74" i="2"/>
  <c r="P73" i="2"/>
  <c r="O73" i="2"/>
  <c r="N73" i="2"/>
  <c r="M73" i="2"/>
  <c r="L73" i="2"/>
  <c r="K73" i="2"/>
  <c r="P72" i="2"/>
  <c r="O72" i="2"/>
  <c r="N72" i="2"/>
  <c r="M72" i="2"/>
  <c r="L72" i="2"/>
  <c r="K72" i="2"/>
  <c r="P68" i="2"/>
  <c r="O68" i="2"/>
  <c r="N68" i="2"/>
  <c r="M68" i="2"/>
  <c r="L68" i="2"/>
  <c r="K68" i="2"/>
  <c r="P67" i="2"/>
  <c r="O67" i="2"/>
  <c r="N67" i="2"/>
  <c r="M67" i="2"/>
  <c r="L67" i="2"/>
  <c r="K67" i="2"/>
  <c r="P66" i="2"/>
  <c r="O66" i="2"/>
  <c r="N66" i="2"/>
  <c r="M66" i="2"/>
  <c r="L66" i="2"/>
  <c r="K66" i="2"/>
  <c r="P62" i="2"/>
  <c r="O62" i="2"/>
  <c r="N62" i="2"/>
  <c r="M62" i="2"/>
  <c r="L62" i="2"/>
  <c r="K62" i="2"/>
  <c r="P61" i="2"/>
  <c r="O61" i="2"/>
  <c r="N61" i="2"/>
  <c r="M61" i="2"/>
  <c r="L61" i="2"/>
  <c r="K61" i="2"/>
  <c r="P60" i="2"/>
  <c r="O60" i="2"/>
  <c r="N60" i="2"/>
  <c r="M60" i="2"/>
  <c r="L60" i="2"/>
  <c r="K60" i="2"/>
  <c r="P56" i="2"/>
  <c r="O56" i="2"/>
  <c r="N56" i="2"/>
  <c r="M56" i="2"/>
  <c r="L56" i="2"/>
  <c r="K56" i="2"/>
  <c r="P55" i="2"/>
  <c r="O55" i="2"/>
  <c r="N55" i="2"/>
  <c r="M55" i="2"/>
  <c r="L55" i="2"/>
  <c r="K55" i="2"/>
  <c r="P54" i="2"/>
  <c r="O54" i="2"/>
  <c r="N54" i="2"/>
  <c r="M54" i="2"/>
  <c r="L54" i="2"/>
  <c r="K54" i="2"/>
  <c r="P50" i="2"/>
  <c r="O50" i="2"/>
  <c r="N50" i="2"/>
  <c r="M50" i="2"/>
  <c r="L50" i="2"/>
  <c r="K50" i="2"/>
  <c r="P49" i="2"/>
  <c r="P51" i="2" s="1"/>
  <c r="P52" i="2" s="1"/>
  <c r="P53" i="2" s="1"/>
  <c r="P57" i="2" s="1"/>
  <c r="P58" i="2" s="1"/>
  <c r="P59" i="2" s="1"/>
  <c r="P63" i="2" s="1"/>
  <c r="P64" i="2" s="1"/>
  <c r="P65" i="2" s="1"/>
  <c r="P69" i="2" s="1"/>
  <c r="P70" i="2" s="1"/>
  <c r="P71" i="2" s="1"/>
  <c r="O49" i="2"/>
  <c r="O51" i="2" s="1"/>
  <c r="O52" i="2" s="1"/>
  <c r="O53" i="2" s="1"/>
  <c r="O57" i="2" s="1"/>
  <c r="O58" i="2" s="1"/>
  <c r="O59" i="2" s="1"/>
  <c r="O63" i="2" s="1"/>
  <c r="O64" i="2" s="1"/>
  <c r="O65" i="2" s="1"/>
  <c r="O69" i="2" s="1"/>
  <c r="O70" i="2" s="1"/>
  <c r="O71" i="2" s="1"/>
  <c r="O75" i="2" s="1"/>
  <c r="O76" i="2" s="1"/>
  <c r="O77" i="2" s="1"/>
  <c r="N49" i="2"/>
  <c r="N51" i="2" s="1"/>
  <c r="N52" i="2" s="1"/>
  <c r="N53" i="2" s="1"/>
  <c r="N57" i="2" s="1"/>
  <c r="N58" i="2" s="1"/>
  <c r="N59" i="2" s="1"/>
  <c r="N63" i="2" s="1"/>
  <c r="N64" i="2" s="1"/>
  <c r="N65" i="2" s="1"/>
  <c r="N69" i="2" s="1"/>
  <c r="N70" i="2" s="1"/>
  <c r="N71" i="2" s="1"/>
  <c r="N75" i="2" s="1"/>
  <c r="N76" i="2" s="1"/>
  <c r="N77" i="2" s="1"/>
  <c r="M49" i="2"/>
  <c r="L49" i="2"/>
  <c r="K49" i="2"/>
  <c r="P45" i="2"/>
  <c r="O45" i="2"/>
  <c r="N45" i="2"/>
  <c r="M45" i="2"/>
  <c r="L45" i="2"/>
  <c r="K45" i="2"/>
  <c r="P44" i="2"/>
  <c r="P46" i="2" s="1"/>
  <c r="P47" i="2" s="1"/>
  <c r="P48" i="2" s="1"/>
  <c r="O44" i="2"/>
  <c r="O46" i="2" s="1"/>
  <c r="O47" i="2" s="1"/>
  <c r="O48" i="2" s="1"/>
  <c r="N44" i="2"/>
  <c r="N46" i="2" s="1"/>
  <c r="N47" i="2" s="1"/>
  <c r="N48" i="2" s="1"/>
  <c r="M44" i="2"/>
  <c r="M46" i="2" s="1"/>
  <c r="M47" i="2" s="1"/>
  <c r="M48" i="2" s="1"/>
  <c r="L44" i="2"/>
  <c r="L46" i="2" s="1"/>
  <c r="L47" i="2" s="1"/>
  <c r="L48" i="2" s="1"/>
  <c r="K44" i="2"/>
  <c r="P40" i="2"/>
  <c r="O40" i="2"/>
  <c r="N40" i="2"/>
  <c r="M40" i="2"/>
  <c r="L40" i="2"/>
  <c r="K40" i="2"/>
  <c r="P39" i="2"/>
  <c r="P41" i="2" s="1"/>
  <c r="P42" i="2" s="1"/>
  <c r="P43" i="2" s="1"/>
  <c r="O39" i="2"/>
  <c r="O41" i="2" s="1"/>
  <c r="O42" i="2" s="1"/>
  <c r="O43" i="2" s="1"/>
  <c r="N39" i="2"/>
  <c r="N41" i="2" s="1"/>
  <c r="N42" i="2" s="1"/>
  <c r="N43" i="2" s="1"/>
  <c r="M39" i="2"/>
  <c r="L39" i="2"/>
  <c r="K39" i="2"/>
  <c r="P35" i="2"/>
  <c r="O35" i="2"/>
  <c r="N35" i="2"/>
  <c r="M35" i="2"/>
  <c r="L35" i="2"/>
  <c r="K35" i="2"/>
  <c r="P34" i="2"/>
  <c r="O34" i="2"/>
  <c r="N34" i="2"/>
  <c r="M34" i="2"/>
  <c r="L34" i="2"/>
  <c r="K34" i="2"/>
  <c r="P33" i="2"/>
  <c r="O33" i="2"/>
  <c r="N33" i="2"/>
  <c r="M33" i="2"/>
  <c r="L33" i="2"/>
  <c r="K33" i="2"/>
  <c r="P29" i="2"/>
  <c r="O29" i="2"/>
  <c r="N29" i="2"/>
  <c r="M29" i="2"/>
  <c r="L29" i="2"/>
  <c r="K29" i="2"/>
  <c r="P28" i="2"/>
  <c r="O28" i="2"/>
  <c r="N28" i="2"/>
  <c r="M28" i="2"/>
  <c r="L28" i="2"/>
  <c r="K28" i="2"/>
  <c r="P27" i="2"/>
  <c r="O27" i="2"/>
  <c r="N27" i="2"/>
  <c r="M27" i="2"/>
  <c r="L27" i="2"/>
  <c r="K27" i="2"/>
  <c r="P23" i="2"/>
  <c r="O23" i="2"/>
  <c r="N23" i="2"/>
  <c r="M23" i="2"/>
  <c r="L23" i="2"/>
  <c r="K23" i="2"/>
  <c r="P22" i="2"/>
  <c r="O22" i="2"/>
  <c r="N22" i="2"/>
  <c r="M22" i="2"/>
  <c r="L22" i="2"/>
  <c r="K22" i="2"/>
  <c r="P21" i="2"/>
  <c r="O21" i="2"/>
  <c r="N21" i="2"/>
  <c r="M21" i="2"/>
  <c r="L21" i="2"/>
  <c r="K21" i="2"/>
  <c r="P20" i="2"/>
  <c r="O20" i="2"/>
  <c r="N20" i="2"/>
  <c r="N24" i="2" s="1"/>
  <c r="N25" i="2" s="1"/>
  <c r="N26" i="2" s="1"/>
  <c r="N30" i="2" s="1"/>
  <c r="N31" i="2" s="1"/>
  <c r="N32" i="2" s="1"/>
  <c r="N36" i="2" s="1"/>
  <c r="N37" i="2" s="1"/>
  <c r="N38" i="2" s="1"/>
  <c r="M20" i="2"/>
  <c r="L20" i="2"/>
  <c r="L24" i="2" s="1"/>
  <c r="L25" i="2" s="1"/>
  <c r="L26" i="2" s="1"/>
  <c r="L30" i="2" s="1"/>
  <c r="L31" i="2" s="1"/>
  <c r="L32" i="2" s="1"/>
  <c r="L36" i="2" s="1"/>
  <c r="L37" i="2" s="1"/>
  <c r="L38" i="2" s="1"/>
  <c r="K20" i="2"/>
  <c r="K24" i="2" s="1"/>
  <c r="K25" i="2" s="1"/>
  <c r="K26" i="2" s="1"/>
  <c r="K30" i="2" s="1"/>
  <c r="K31" i="2" s="1"/>
  <c r="K32" i="2" s="1"/>
  <c r="K36" i="2" s="1"/>
  <c r="K37" i="2" s="1"/>
  <c r="K38" i="2" s="1"/>
  <c r="P16" i="2"/>
  <c r="O16" i="2"/>
  <c r="N16" i="2"/>
  <c r="M16" i="2"/>
  <c r="L16" i="2"/>
  <c r="K16" i="2"/>
  <c r="P15" i="2"/>
  <c r="O15" i="2"/>
  <c r="N15" i="2"/>
  <c r="M15" i="2"/>
  <c r="L15" i="2"/>
  <c r="K15" i="2"/>
  <c r="P14" i="2"/>
  <c r="O14" i="2"/>
  <c r="N14" i="2"/>
  <c r="M14" i="2"/>
  <c r="L14" i="2"/>
  <c r="K14" i="2"/>
  <c r="P13" i="2"/>
  <c r="O13" i="2"/>
  <c r="N13" i="2"/>
  <c r="M13" i="2"/>
  <c r="L13" i="2"/>
  <c r="K13" i="2"/>
  <c r="P9" i="2"/>
  <c r="O9" i="2"/>
  <c r="N9" i="2"/>
  <c r="M9" i="2"/>
  <c r="L9" i="2"/>
  <c r="K9" i="2"/>
  <c r="P8" i="2"/>
  <c r="O8" i="2"/>
  <c r="N8" i="2"/>
  <c r="M8" i="2"/>
  <c r="L8" i="2"/>
  <c r="K8" i="2"/>
  <c r="P7" i="2"/>
  <c r="O7" i="2"/>
  <c r="N7" i="2"/>
  <c r="M7" i="2"/>
  <c r="L7" i="2"/>
  <c r="K7" i="2"/>
  <c r="P6" i="2"/>
  <c r="P10" i="2" s="1"/>
  <c r="P11" i="2" s="1"/>
  <c r="P12" i="2" s="1"/>
  <c r="O6" i="2"/>
  <c r="N6" i="2"/>
  <c r="M6" i="2"/>
  <c r="L6" i="2"/>
  <c r="K6" i="2"/>
  <c r="O21" i="15" l="1"/>
  <c r="O22" i="15" s="1"/>
  <c r="O23" i="15" s="1"/>
  <c r="K15" i="15"/>
  <c r="K16" i="15" s="1"/>
  <c r="K17" i="15" s="1"/>
  <c r="K41" i="2"/>
  <c r="K42" i="2" s="1"/>
  <c r="K43" i="2" s="1"/>
  <c r="L17" i="2"/>
  <c r="L18" i="2" s="1"/>
  <c r="L19" i="2" s="1"/>
  <c r="L15" i="15"/>
  <c r="L16" i="15" s="1"/>
  <c r="L17" i="15" s="1"/>
  <c r="M17" i="2"/>
  <c r="M18" i="2" s="1"/>
  <c r="M19" i="2" s="1"/>
  <c r="M41" i="2"/>
  <c r="M42" i="2" s="1"/>
  <c r="M43" i="2" s="1"/>
  <c r="M15" i="15"/>
  <c r="M16" i="15" s="1"/>
  <c r="M17" i="15" s="1"/>
  <c r="P9" i="15"/>
  <c r="P10" i="15" s="1"/>
  <c r="P11" i="15" s="1"/>
  <c r="N15" i="15"/>
  <c r="N16" i="15" s="1"/>
  <c r="N17" i="15" s="1"/>
  <c r="O15" i="15"/>
  <c r="O16" i="15" s="1"/>
  <c r="O17" i="15" s="1"/>
  <c r="K10" i="2"/>
  <c r="K11" i="2" s="1"/>
  <c r="K12" i="2" s="1"/>
  <c r="P15" i="15"/>
  <c r="P16" i="15" s="1"/>
  <c r="P17" i="15" s="1"/>
  <c r="K21" i="15"/>
  <c r="K22" i="15" s="1"/>
  <c r="K23" i="15" s="1"/>
  <c r="P75" i="2"/>
  <c r="P76" i="2" s="1"/>
  <c r="P77" i="2" s="1"/>
  <c r="K17" i="2"/>
  <c r="K18" i="2" s="1"/>
  <c r="K19" i="2" s="1"/>
  <c r="K51" i="2"/>
  <c r="K52" i="2" s="1"/>
  <c r="K53" i="2" s="1"/>
  <c r="K57" i="2" s="1"/>
  <c r="K58" i="2" s="1"/>
  <c r="K59" i="2" s="1"/>
  <c r="K63" i="2" s="1"/>
  <c r="K64" i="2" s="1"/>
  <c r="K65" i="2" s="1"/>
  <c r="K69" i="2" s="1"/>
  <c r="K70" i="2" s="1"/>
  <c r="K71" i="2" s="1"/>
  <c r="K75" i="2" s="1"/>
  <c r="K76" i="2" s="1"/>
  <c r="K77" i="2" s="1"/>
  <c r="N10" i="2"/>
  <c r="N11" i="2" s="1"/>
  <c r="N12" i="2" s="1"/>
  <c r="M24" i="2"/>
  <c r="M25" i="2" s="1"/>
  <c r="M26" i="2" s="1"/>
  <c r="M30" i="2" s="1"/>
  <c r="M31" i="2" s="1"/>
  <c r="M32" i="2" s="1"/>
  <c r="M36" i="2" s="1"/>
  <c r="M37" i="2" s="1"/>
  <c r="M38" i="2" s="1"/>
  <c r="M51" i="2"/>
  <c r="M52" i="2" s="1"/>
  <c r="M53" i="2" s="1"/>
  <c r="M57" i="2" s="1"/>
  <c r="M58" i="2" s="1"/>
  <c r="M59" i="2" s="1"/>
  <c r="M63" i="2" s="1"/>
  <c r="M64" i="2" s="1"/>
  <c r="M65" i="2" s="1"/>
  <c r="M69" i="2" s="1"/>
  <c r="M70" i="2" s="1"/>
  <c r="M71" i="2" s="1"/>
  <c r="M75" i="2" s="1"/>
  <c r="M76" i="2" s="1"/>
  <c r="M77" i="2" s="1"/>
  <c r="L10" i="2"/>
  <c r="L11" i="2" s="1"/>
  <c r="L12" i="2" s="1"/>
  <c r="M10" i="2"/>
  <c r="M11" i="2" s="1"/>
  <c r="M12" i="2" s="1"/>
  <c r="O10" i="2"/>
  <c r="O11" i="2" s="1"/>
  <c r="O12" i="2" s="1"/>
  <c r="N17" i="2"/>
  <c r="N18" i="2" s="1"/>
  <c r="N19" i="2" s="1"/>
  <c r="K46" i="2"/>
  <c r="K47" i="2" s="1"/>
  <c r="K48" i="2" s="1"/>
  <c r="O17" i="2"/>
  <c r="O18" i="2" s="1"/>
  <c r="O19" i="2" s="1"/>
  <c r="O24" i="2"/>
  <c r="O25" i="2" s="1"/>
  <c r="O26" i="2" s="1"/>
  <c r="O30" i="2" s="1"/>
  <c r="O31" i="2" s="1"/>
  <c r="O32" i="2" s="1"/>
  <c r="O36" i="2" s="1"/>
  <c r="O37" i="2" s="1"/>
  <c r="O38" i="2" s="1"/>
  <c r="L41" i="2"/>
  <c r="L42" i="2" s="1"/>
  <c r="L43" i="2" s="1"/>
  <c r="L51" i="2"/>
  <c r="L52" i="2" s="1"/>
  <c r="L53" i="2" s="1"/>
  <c r="L57" i="2" s="1"/>
  <c r="L58" i="2" s="1"/>
  <c r="L59" i="2" s="1"/>
  <c r="L63" i="2" s="1"/>
  <c r="L64" i="2" s="1"/>
  <c r="L65" i="2" s="1"/>
  <c r="L69" i="2" s="1"/>
  <c r="L70" i="2" s="1"/>
  <c r="L71" i="2" s="1"/>
  <c r="P17" i="2"/>
  <c r="P18" i="2" s="1"/>
  <c r="P19" i="2" s="1"/>
  <c r="P24" i="2"/>
  <c r="P25" i="2" s="1"/>
  <c r="P26" i="2" s="1"/>
  <c r="P30" i="2" s="1"/>
  <c r="P31" i="2" s="1"/>
  <c r="P32" i="2" s="1"/>
  <c r="P36" i="2" s="1"/>
  <c r="P37" i="2" s="1"/>
  <c r="P38" i="2" s="1"/>
  <c r="L75" i="2"/>
  <c r="L76" i="2" s="1"/>
  <c r="L77" i="2" s="1"/>
  <c r="H32" i="16"/>
  <c r="J32" i="16" s="1"/>
  <c r="H31" i="16"/>
  <c r="J31" i="16" s="1"/>
  <c r="H30" i="16"/>
  <c r="J30" i="16" s="1"/>
  <c r="H29" i="16"/>
  <c r="J29" i="16" s="1"/>
  <c r="H28" i="16"/>
  <c r="J28" i="16" s="1"/>
  <c r="H27" i="16"/>
  <c r="J27" i="16" s="1"/>
  <c r="H26" i="16"/>
  <c r="J26" i="16" s="1"/>
  <c r="H25" i="16"/>
  <c r="J25" i="16" s="1"/>
  <c r="H24" i="16"/>
  <c r="J24" i="16" s="1"/>
  <c r="H23" i="16"/>
  <c r="J23" i="16" s="1"/>
  <c r="H22" i="16"/>
  <c r="J22" i="16" s="1"/>
  <c r="H21" i="16"/>
  <c r="J21" i="16" s="1"/>
  <c r="H20" i="16"/>
  <c r="J20" i="16" s="1"/>
  <c r="H19" i="16"/>
  <c r="J19" i="16" s="1"/>
  <c r="H18" i="16"/>
  <c r="J18" i="16" s="1"/>
  <c r="H17" i="16"/>
  <c r="J17" i="16" s="1"/>
  <c r="H16" i="16"/>
  <c r="J16" i="16" s="1"/>
  <c r="H15" i="16"/>
  <c r="J15" i="16" s="1"/>
  <c r="H14" i="16"/>
  <c r="J14" i="16" s="1"/>
  <c r="H13" i="16"/>
  <c r="J13" i="16" s="1"/>
  <c r="H12" i="16"/>
  <c r="J12" i="16" s="1"/>
  <c r="H11" i="16"/>
  <c r="J11" i="16" s="1"/>
  <c r="H10" i="16"/>
  <c r="J10" i="16" s="1"/>
  <c r="H9" i="16"/>
  <c r="J9" i="16" s="1"/>
  <c r="A20" i="10" l="1"/>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H8" i="10"/>
  <c r="H7" i="10"/>
  <c r="G8" i="10"/>
  <c r="G7" i="10"/>
  <c r="F8" i="10"/>
  <c r="F7" i="10"/>
  <c r="E8" i="10"/>
  <c r="E7" i="10"/>
  <c r="D8" i="10"/>
  <c r="D7" i="10"/>
  <c r="C8" i="10"/>
  <c r="C7" i="10"/>
  <c r="B19" i="10" l="1"/>
  <c r="A37" i="13"/>
  <c r="A38" i="13"/>
  <c r="A39" i="13"/>
  <c r="A24" i="13"/>
  <c r="A25" i="13"/>
  <c r="A26" i="13"/>
  <c r="A27" i="13"/>
  <c r="A28" i="13"/>
  <c r="A29" i="13"/>
  <c r="A30" i="13"/>
  <c r="A31" i="13"/>
  <c r="A32" i="13"/>
  <c r="A33" i="13"/>
  <c r="A34" i="13"/>
  <c r="A35" i="13"/>
  <c r="A36"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23" i="13" l="1"/>
  <c r="F9" i="13" s="1"/>
  <c r="B24" i="1" l="1"/>
  <c r="B25" i="1"/>
  <c r="B26" i="1"/>
  <c r="B27" i="1"/>
  <c r="B28" i="1"/>
  <c r="B23" i="1"/>
  <c r="F21" i="13" l="1"/>
  <c r="F14" i="13" s="1"/>
  <c r="F17" i="13" l="1"/>
  <c r="D41" i="1" s="1"/>
  <c r="D42" i="1" s="1"/>
  <c r="G21" i="13" l="1"/>
  <c r="J21" i="13"/>
  <c r="I21" i="13"/>
  <c r="K21" i="13"/>
  <c r="H21" i="13"/>
  <c r="G14" i="13" l="1"/>
  <c r="G17" i="13" s="1"/>
  <c r="E41" i="1" s="1"/>
  <c r="E42" i="1" s="1"/>
  <c r="H14" i="13"/>
  <c r="H17" i="13" s="1"/>
  <c r="F41" i="1" s="1"/>
  <c r="F42" i="1" s="1"/>
  <c r="K14" i="13"/>
  <c r="K17" i="13" s="1"/>
  <c r="I41" i="1" s="1"/>
  <c r="I42" i="1" s="1"/>
  <c r="I14" i="13"/>
  <c r="I17" i="13" s="1"/>
  <c r="G41" i="1" s="1"/>
  <c r="G42" i="1" s="1"/>
  <c r="J14" i="13"/>
  <c r="J17" i="13" s="1"/>
  <c r="H41" i="1" s="1"/>
  <c r="H42" i="1" s="1"/>
  <c r="C11" i="10" l="1"/>
  <c r="C13" i="10" l="1"/>
  <c r="C12" i="10"/>
  <c r="D12" i="10"/>
  <c r="G13" i="10"/>
  <c r="F12" i="10"/>
  <c r="D13" i="10"/>
  <c r="E13" i="10"/>
  <c r="F13" i="10"/>
  <c r="E12" i="10"/>
  <c r="H13" i="10"/>
  <c r="G11" i="10"/>
  <c r="H11" i="10"/>
  <c r="D11" i="10"/>
  <c r="G12" i="10"/>
  <c r="E11" i="10"/>
  <c r="H12" i="10"/>
  <c r="F11" i="10"/>
  <c r="Q29" i="1"/>
  <c r="P29" i="1"/>
  <c r="O29" i="1"/>
  <c r="N29" i="1"/>
  <c r="M29" i="1"/>
  <c r="M36" i="1" s="1"/>
  <c r="L29" i="1"/>
  <c r="L36" i="1" s="1"/>
  <c r="K29" i="1"/>
  <c r="K36" i="1" s="1"/>
  <c r="J29" i="1"/>
  <c r="J36" i="1" s="1"/>
  <c r="I29" i="1"/>
  <c r="I36" i="1" s="1"/>
  <c r="H29" i="1"/>
  <c r="H36" i="1" s="1"/>
  <c r="G29" i="1"/>
  <c r="G36" i="1" s="1"/>
  <c r="F29" i="1"/>
  <c r="E29" i="1"/>
  <c r="D29" i="1"/>
  <c r="C29" i="1"/>
  <c r="C15" i="10" l="1"/>
  <c r="D43" i="1" s="1"/>
  <c r="D44" i="1" s="1"/>
  <c r="D46" i="1" s="1"/>
  <c r="F15" i="10"/>
  <c r="G43" i="1" s="1"/>
  <c r="G44" i="1" s="1"/>
  <c r="G46" i="1" s="1"/>
  <c r="E15" i="10"/>
  <c r="F43" i="1" s="1"/>
  <c r="F44" i="1" s="1"/>
  <c r="F46" i="1" s="1"/>
  <c r="D15" i="10"/>
  <c r="E43" i="1" s="1"/>
  <c r="E44" i="1" s="1"/>
  <c r="E46" i="1" s="1"/>
  <c r="H15" i="10"/>
  <c r="I43" i="1" s="1"/>
  <c r="I44" i="1" s="1"/>
  <c r="I46" i="1" s="1"/>
  <c r="G15" i="10"/>
  <c r="H43" i="1" s="1"/>
  <c r="H44" i="1" s="1"/>
  <c r="H46" i="1" s="1"/>
  <c r="D48" i="1" l="1"/>
  <c r="A32" i="1" s="1"/>
  <c r="N36" i="1" l="1"/>
  <c r="P36" i="1"/>
  <c r="C36" i="1"/>
  <c r="D36" i="1"/>
  <c r="E36" i="1"/>
  <c r="Q36" i="1"/>
  <c r="F36" i="1"/>
  <c r="O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Nalini</author>
  </authors>
  <commentList>
    <comment ref="K11" authorId="0" shapeId="0" xr:uid="{00000000-0006-0000-0300-000001000000}">
      <text>
        <r>
          <rPr>
            <b/>
            <sz val="9"/>
            <color indexed="81"/>
            <rFont val="Tahoma"/>
            <family val="2"/>
          </rPr>
          <t>Nalini:</t>
        </r>
        <r>
          <rPr>
            <sz val="9"/>
            <color indexed="81"/>
            <rFont val="Tahoma"/>
            <family val="2"/>
          </rPr>
          <t xml:space="preserve">
Threshhold to be calculated</t>
        </r>
      </text>
    </comment>
    <comment ref="F19" authorId="0" shapeId="0" xr:uid="{00000000-0006-0000-0300-000002000000}">
      <text>
        <r>
          <rPr>
            <b/>
            <sz val="9"/>
            <color indexed="81"/>
            <rFont val="Tahoma"/>
            <family val="2"/>
          </rPr>
          <t>Nalini:</t>
        </r>
        <r>
          <rPr>
            <sz val="9"/>
            <color indexed="81"/>
            <rFont val="Tahoma"/>
            <family val="2"/>
          </rPr>
          <t xml:space="preserve">
Enter maximum marks alloted to CO</t>
        </r>
      </text>
    </comment>
    <comment ref="G19" authorId="0" shapeId="0" xr:uid="{00000000-0006-0000-0300-000003000000}">
      <text>
        <r>
          <rPr>
            <b/>
            <sz val="9"/>
            <color indexed="81"/>
            <rFont val="Tahoma"/>
            <family val="2"/>
          </rPr>
          <t>Nalini:</t>
        </r>
        <r>
          <rPr>
            <sz val="9"/>
            <color indexed="81"/>
            <rFont val="Tahoma"/>
            <family val="2"/>
          </rPr>
          <t xml:space="preserve">
Enter maximum marks alloted to CO</t>
        </r>
      </text>
    </comment>
    <comment ref="H19" authorId="0" shapeId="0" xr:uid="{00000000-0006-0000-0300-000004000000}">
      <text>
        <r>
          <rPr>
            <b/>
            <sz val="9"/>
            <color indexed="81"/>
            <rFont val="Tahoma"/>
            <family val="2"/>
          </rPr>
          <t>Nalini:</t>
        </r>
        <r>
          <rPr>
            <sz val="9"/>
            <color indexed="81"/>
            <rFont val="Tahoma"/>
            <family val="2"/>
          </rPr>
          <t xml:space="preserve">
Enter maximum marks alloted to CO</t>
        </r>
      </text>
    </comment>
    <comment ref="I19" authorId="0" shapeId="0" xr:uid="{00000000-0006-0000-0300-000005000000}">
      <text>
        <r>
          <rPr>
            <b/>
            <sz val="9"/>
            <color indexed="81"/>
            <rFont val="Tahoma"/>
            <family val="2"/>
          </rPr>
          <t>Nalini:</t>
        </r>
        <r>
          <rPr>
            <sz val="9"/>
            <color indexed="81"/>
            <rFont val="Tahoma"/>
            <family val="2"/>
          </rPr>
          <t xml:space="preserve">
Enter maximum marks alloted to CO</t>
        </r>
      </text>
    </comment>
    <comment ref="J19" authorId="0" shapeId="0" xr:uid="{00000000-0006-0000-0300-000006000000}">
      <text>
        <r>
          <rPr>
            <b/>
            <sz val="9"/>
            <color indexed="81"/>
            <rFont val="Tahoma"/>
            <family val="2"/>
          </rPr>
          <t>Nalini:</t>
        </r>
        <r>
          <rPr>
            <sz val="9"/>
            <color indexed="81"/>
            <rFont val="Tahoma"/>
            <family val="2"/>
          </rPr>
          <t xml:space="preserve">
Enter maximum marks alloted to CO</t>
        </r>
      </text>
    </comment>
    <comment ref="K19" authorId="0" shapeId="0" xr:uid="{00000000-0006-0000-0300-000007000000}">
      <text>
        <r>
          <rPr>
            <b/>
            <sz val="9"/>
            <color indexed="81"/>
            <rFont val="Tahoma"/>
            <family val="2"/>
          </rPr>
          <t>Nalini:</t>
        </r>
        <r>
          <rPr>
            <sz val="9"/>
            <color indexed="81"/>
            <rFont val="Tahoma"/>
            <family val="2"/>
          </rPr>
          <t xml:space="preserve">
Enter maximum marks alloted to CO</t>
        </r>
      </text>
    </comment>
  </commentList>
</comments>
</file>

<file path=xl/sharedStrings.xml><?xml version="1.0" encoding="utf-8"?>
<sst xmlns="http://schemas.openxmlformats.org/spreadsheetml/2006/main" count="704" uniqueCount="295">
  <si>
    <t xml:space="preserve">Subject Name : </t>
  </si>
  <si>
    <t xml:space="preserve">Subject Code : </t>
  </si>
  <si>
    <t>Faculty Name:</t>
  </si>
  <si>
    <t>Course Outcome</t>
  </si>
  <si>
    <t>Sr No</t>
  </si>
  <si>
    <t>Code</t>
  </si>
  <si>
    <t>Statement</t>
  </si>
  <si>
    <t>PO1</t>
  </si>
  <si>
    <t>PO2</t>
  </si>
  <si>
    <t>PO3</t>
  </si>
  <si>
    <t>PO4</t>
  </si>
  <si>
    <t>PO5</t>
  </si>
  <si>
    <t>PO6</t>
  </si>
  <si>
    <t>PO7</t>
  </si>
  <si>
    <t>PO8</t>
  </si>
  <si>
    <t>PO9</t>
  </si>
  <si>
    <t>PO10</t>
  </si>
  <si>
    <t>PO11</t>
  </si>
  <si>
    <t>PO12</t>
  </si>
  <si>
    <t>PSO1</t>
  </si>
  <si>
    <t>PSO2</t>
  </si>
  <si>
    <t>PSO3</t>
  </si>
  <si>
    <t>Average</t>
  </si>
  <si>
    <t>CO1</t>
  </si>
  <si>
    <t>CO2</t>
  </si>
  <si>
    <t>CO3</t>
  </si>
  <si>
    <t>CO4</t>
  </si>
  <si>
    <t>CO5</t>
  </si>
  <si>
    <t>CO6</t>
  </si>
  <si>
    <t>Justification 1</t>
  </si>
  <si>
    <t>Y or N</t>
  </si>
  <si>
    <t>4. Use research based knowledge and research methods including design of experiments, analysis and interpretation of data and synthesis of the information to provide valid conclusions.</t>
  </si>
  <si>
    <t>5. Create, select and apply appropriate techniques, resources, and modern engineering and IT tools including prediction and modeling to complex computer engineering activities with an understanding of the limitations.</t>
  </si>
  <si>
    <t>6. Apply reasoning informed by the contextual knowledge to assess societal, health, safety, legal, and cultural issues and the consequent responsibilities relevant to the professional engineering practice</t>
  </si>
  <si>
    <t>7. Understand the impact of the professional engineering solutions in societal and environmental contexts, and demonstrate the knowledge of, and need for sustainable development.</t>
  </si>
  <si>
    <t>8. Apply ethical principles and commit to professional ethics and responsibilities and norms of the engineering practice.</t>
  </si>
  <si>
    <t>9. Function effectively as an individual, and as a member or leader in diverse teams, and in multidisciplinary setting.</t>
  </si>
  <si>
    <t>10. Communicate effectively on complex computer engineering activities with the engineering community and with society at large, such as, being able to comprehend and write effective reports and design documentations, make effective presentations and give and receive clear instructions.</t>
  </si>
  <si>
    <t>11. Demonstrate knowledge and understanding of the computer engineering and management principals and apply these to one’s own work, as a member and leader in a team, to manage projects and in multidisciplinary environments.</t>
  </si>
  <si>
    <t>12. Recognize the need for and have the preparation and ability to engage in independent and life-long learning in the broadcast context of technological change.</t>
  </si>
  <si>
    <t>Subject Name</t>
  </si>
  <si>
    <t>Class</t>
  </si>
  <si>
    <t>Total Number of Students</t>
  </si>
  <si>
    <t>Out of</t>
  </si>
  <si>
    <t>PRN No</t>
  </si>
  <si>
    <t>Name</t>
  </si>
  <si>
    <t>Competency</t>
  </si>
  <si>
    <t>Demonstrate an ability to advance an engineering design to defined end state</t>
  </si>
  <si>
    <t>Demonstrate an ability to select optimal design scheme for further development</t>
  </si>
  <si>
    <t>Demonstrate an ability to generate a diverse set of alternative design solutions</t>
  </si>
  <si>
    <t>Demonstrate an ability to define a complex/open-ended problem in engineering terms</t>
  </si>
  <si>
    <t>Demonstrate an ability to execute a solution process and analyze results</t>
  </si>
  <si>
    <t xml:space="preserve">Demonstrate an ability to formulate and interpret a model  </t>
  </si>
  <si>
    <t>Demonstrate an ability to formulate a solution plan and methodology for an engineering problem</t>
  </si>
  <si>
    <t>Demonstrate an ability to identify and formulate
complex engineering problem</t>
  </si>
  <si>
    <t xml:space="preserve">Demonstrate competence in specialized engineering knowledge to the program </t>
  </si>
  <si>
    <t xml:space="preserve">Demonstrate competence in engineering fundamentals   </t>
  </si>
  <si>
    <t xml:space="preserve">Demonstrate competence in basic sciences </t>
  </si>
  <si>
    <t>Demonstrate competence in knowledge of basic &amp; applied mathematics</t>
  </si>
  <si>
    <t>Demonstrate an ability to conduct investigations of technical issues consistent with their level of knowledge</t>
  </si>
  <si>
    <t>Demonstrate an ability to design experiments to solve open-ended problems</t>
  </si>
  <si>
    <t>Demonstrate an ability to analyze data and reach a valid conclusion</t>
  </si>
  <si>
    <t xml:space="preserve">Demonstrate an ability to identify/create modern engineering tools, techniques and resources </t>
  </si>
  <si>
    <t>Demonstrate an ability to select and apply disciplinespecific tools, techniques and resources</t>
  </si>
  <si>
    <t>Demonstrate an ability to evaluate the suitability and limitations of tools used to solve an engineering
problem</t>
  </si>
  <si>
    <t>Demonstrate an ability to describe engineering roles in a broader context, e.g. pertaining to the environment, health, safety, legal and public welfare</t>
  </si>
  <si>
    <t xml:space="preserve">Demonstrate an understanding of professional engineering regulations, legislation and standards </t>
  </si>
  <si>
    <t xml:space="preserve">Demonstrate an understanding of the impact of engineering and industrial practices on social, environmental and in economic contexts </t>
  </si>
  <si>
    <t>Demonstrate an ability to apply principles of sustainable design and development</t>
  </si>
  <si>
    <t>Demonstrate an ability to recognize ethical dilemmas</t>
  </si>
  <si>
    <t>Demonstrate an ability to apply the Code of Ethics</t>
  </si>
  <si>
    <t>Demonstrate an ability to form a team and define a role for each member</t>
  </si>
  <si>
    <t>Demonstrate effective individual and team operations-communication, problemsolving, conflict resolution and leadership skills</t>
  </si>
  <si>
    <t>Demonstrate success in a team-based project</t>
  </si>
  <si>
    <t>Demonstrate an ability to comprehend technical literature and document project work</t>
  </si>
  <si>
    <t>Demonstrate competence in listening, speaking, and presentation</t>
  </si>
  <si>
    <t>Demonstrate the ability to integrate different modes of communication</t>
  </si>
  <si>
    <t>Demonstrate an ability to evaluate the economic and financial performance of an engineering activity</t>
  </si>
  <si>
    <t>Demonstrate an ability to compare and contrast the costs/benefits of alternate proposals for an engineering
activity</t>
  </si>
  <si>
    <t xml:space="preserve">Demonstrate an ability to plan/manage an engineering activity within time and budget constraints </t>
  </si>
  <si>
    <t>Demonstrate an ability to identify gaps in knowledge and a strategy to close these gaps</t>
  </si>
  <si>
    <t>Demonstrate an ability to identify changing trends in engineering knowledge and practice</t>
  </si>
  <si>
    <t>Demonstrate an ability to identify and access sources for new information</t>
  </si>
  <si>
    <r>
      <t xml:space="preserve">2. </t>
    </r>
    <r>
      <rPr>
        <sz val="12"/>
        <color rgb="FF17365D"/>
        <rFont val="Times New Roman"/>
        <family val="1"/>
      </rPr>
      <t>Identify</t>
    </r>
    <r>
      <rPr>
        <sz val="12"/>
        <color theme="1"/>
        <rFont val="Times New Roman"/>
        <family val="1"/>
      </rPr>
      <t xml:space="preserve">, </t>
    </r>
    <r>
      <rPr>
        <sz val="12"/>
        <color rgb="FF17365D"/>
        <rFont val="Times New Roman"/>
        <family val="1"/>
      </rPr>
      <t>formulate</t>
    </r>
    <r>
      <rPr>
        <sz val="12"/>
        <color theme="1"/>
        <rFont val="Times New Roman"/>
        <family val="1"/>
      </rPr>
      <t xml:space="preserve">, review </t>
    </r>
    <r>
      <rPr>
        <sz val="12"/>
        <color rgb="FF17365D"/>
        <rFont val="Times New Roman"/>
        <family val="1"/>
      </rPr>
      <t>research literature</t>
    </r>
    <r>
      <rPr>
        <sz val="12"/>
        <color theme="1"/>
        <rFont val="Times New Roman"/>
        <family val="1"/>
      </rPr>
      <t xml:space="preserve">, and </t>
    </r>
    <r>
      <rPr>
        <sz val="12"/>
        <color rgb="FF17365D"/>
        <rFont val="Times New Roman"/>
        <family val="1"/>
      </rPr>
      <t>analyze complex computer  engineering problems</t>
    </r>
    <r>
      <rPr>
        <sz val="12"/>
        <color theme="1"/>
        <rFont val="Times New Roman"/>
        <family val="1"/>
      </rPr>
      <t xml:space="preserve"> reaching substantiated conclusions using first principals of mathematic, </t>
    </r>
    <r>
      <rPr>
        <sz val="12"/>
        <color rgb="FF17365D"/>
        <rFont val="Times New Roman"/>
        <family val="1"/>
      </rPr>
      <t>natural sciences</t>
    </r>
    <r>
      <rPr>
        <sz val="12"/>
        <color theme="1"/>
        <rFont val="Times New Roman"/>
        <family val="1"/>
      </rPr>
      <t>, and engineering sciences</t>
    </r>
  </si>
  <si>
    <r>
      <t xml:space="preserve">3. </t>
    </r>
    <r>
      <rPr>
        <sz val="12"/>
        <color rgb="FF17365D"/>
        <rFont val="Times New Roman"/>
        <family val="1"/>
      </rPr>
      <t>Design solutions</t>
    </r>
    <r>
      <rPr>
        <sz val="12"/>
        <color theme="1"/>
        <rFont val="Times New Roman"/>
        <family val="1"/>
      </rPr>
      <t xml:space="preserve"> for complex computer engineering problems and </t>
    </r>
    <r>
      <rPr>
        <sz val="12"/>
        <color rgb="FF17365D"/>
        <rFont val="Times New Roman"/>
        <family val="1"/>
      </rPr>
      <t>design system</t>
    </r>
    <r>
      <rPr>
        <sz val="12"/>
        <color theme="1"/>
        <rFont val="Times New Roman"/>
        <family val="1"/>
      </rPr>
      <t xml:space="preserve"> components or process that </t>
    </r>
    <r>
      <rPr>
        <sz val="12"/>
        <color rgb="FF17365D"/>
        <rFont val="Times New Roman"/>
        <family val="1"/>
      </rPr>
      <t>meet the specialized need</t>
    </r>
    <r>
      <rPr>
        <sz val="12"/>
        <color theme="1"/>
        <rFont val="Times New Roman"/>
        <family val="1"/>
      </rPr>
      <t xml:space="preserve"> with appropriate consideration for the </t>
    </r>
    <r>
      <rPr>
        <sz val="12"/>
        <color rgb="FF17365D"/>
        <rFont val="Times New Roman"/>
        <family val="1"/>
      </rPr>
      <t>public health</t>
    </r>
    <r>
      <rPr>
        <sz val="12"/>
        <color theme="1"/>
        <rFont val="Times New Roman"/>
        <family val="1"/>
      </rPr>
      <t xml:space="preserve"> and safety and the </t>
    </r>
    <r>
      <rPr>
        <sz val="12"/>
        <color rgb="FF17365D"/>
        <rFont val="Times New Roman"/>
        <family val="1"/>
      </rPr>
      <t>cultural, societal, and environmental considerations</t>
    </r>
  </si>
  <si>
    <t xml:space="preserve">Semester : </t>
  </si>
  <si>
    <t xml:space="preserve">Academic Year : </t>
  </si>
  <si>
    <t>Count of each level</t>
  </si>
  <si>
    <t>Mapping strength of PO1 of CO</t>
  </si>
  <si>
    <t>No of competencies from given PO1 mapped by COs</t>
  </si>
  <si>
    <t>% of competencies from given PO1 mapped by COs</t>
  </si>
  <si>
    <t>No of competencies from given PO2 mapped by COs</t>
  </si>
  <si>
    <t>% of competencies from given PO2 mapped by COs</t>
  </si>
  <si>
    <t>Mapping strength of PO2 of CO</t>
  </si>
  <si>
    <t>No of competencies from given PO3 mapped by COs</t>
  </si>
  <si>
    <t>% of competencies from given PO3 mapped by COs</t>
  </si>
  <si>
    <t>Mapping strength of PO3 of CO</t>
  </si>
  <si>
    <t>No of competencies from given PO4 mapped by COs</t>
  </si>
  <si>
    <t>% of competencies from given PO4 mapped by COs</t>
  </si>
  <si>
    <t>Mapping strength of PO4 of CO</t>
  </si>
  <si>
    <t>No of competencies from given PO5 mapped by COs</t>
  </si>
  <si>
    <t>% of competencies from given PO5 mapped by COs</t>
  </si>
  <si>
    <t>Mapping strength of PO5 of CO</t>
  </si>
  <si>
    <t>No of competencies from given PO6 mapped by COs</t>
  </si>
  <si>
    <t>% of competencies from given PO6 mapped by COs</t>
  </si>
  <si>
    <t>Mapping strength of PO6 of CO</t>
  </si>
  <si>
    <t>No of competencies from given PO7 mapped by COs</t>
  </si>
  <si>
    <t>% of competencies from given PO7 mapped by COs</t>
  </si>
  <si>
    <t>Mapping strength of PO7 of CO</t>
  </si>
  <si>
    <t>No of competencies from given PO8 mapped by COs</t>
  </si>
  <si>
    <t>% of competencies from given PO8 mapped by COs</t>
  </si>
  <si>
    <t>Mapping strength of PO8 of CO</t>
  </si>
  <si>
    <t>No of competencies from given PO9 mapped by COs</t>
  </si>
  <si>
    <t>% of competencies from given PO9 mapped by COs</t>
  </si>
  <si>
    <t>Mapping strength of PO9 of CO</t>
  </si>
  <si>
    <t>No of competencies from given PO10 mapped by COs</t>
  </si>
  <si>
    <t>% of competencies from given PO10 mapped by COs</t>
  </si>
  <si>
    <t>Mapping strength of PO10 of CO</t>
  </si>
  <si>
    <t>No of competencies from given PO11 mapped by COs</t>
  </si>
  <si>
    <t>% of competencies from given PO11 mapped by COs</t>
  </si>
  <si>
    <t>Mapping strength of PO11 of CO</t>
  </si>
  <si>
    <t>No of competencies from given PO12 mapped by COs</t>
  </si>
  <si>
    <t>% of competencies from given PO12 mapped by COs</t>
  </si>
  <si>
    <t>Mapping strength of PO12 of CO</t>
  </si>
  <si>
    <t>Keywords mapping to Competency from resepctive CO</t>
  </si>
  <si>
    <t>PSO</t>
  </si>
  <si>
    <t>No of competencies from given PSO1 mapped by COs</t>
  </si>
  <si>
    <t>% of competencies from given PSO1 mapped by COs</t>
  </si>
  <si>
    <t>Mapping strength of PSO1 of CO</t>
  </si>
  <si>
    <t>No of competencies from given PSO2 mapped by COs</t>
  </si>
  <si>
    <t>% of competencies from given PSO2 mapped by COs</t>
  </si>
  <si>
    <t>Mapping strength of PSO2 of CO</t>
  </si>
  <si>
    <t>No of competencies from given PSO3 mapped by COs</t>
  </si>
  <si>
    <t>% of competencies from given PSO3 mapped by COs</t>
  </si>
  <si>
    <t>Mapping strength of PSO3 of CO</t>
  </si>
  <si>
    <t>Course Outcome attainment Calculations through Direct Method</t>
  </si>
  <si>
    <t>Course Outcome attainment Calculations through Indirect Method</t>
  </si>
  <si>
    <t>Professional Skills-The ability to comprehend, analyze and develop software and hardware systems and applications through research, in varying domains.</t>
  </si>
  <si>
    <t xml:space="preserve">Problem-Solving Skills- The ability to apply standard paradigms and strategies in software project development using open-ended programming environments to deliver a quality product.
</t>
  </si>
  <si>
    <t>Successful Career and Entrepreneurship- adaptation of modern practical and systematic approaches in creating innovative solutions for a successful career, entrepreneurship, and a zest for higher studies.</t>
  </si>
  <si>
    <t>Demonstrate the ability to analyze software, hardware system</t>
  </si>
  <si>
    <t>Demonstrate the ability to develop the software system or application</t>
  </si>
  <si>
    <t>Demonstrate the ability to do research in computer science and engineering</t>
  </si>
  <si>
    <t>Demonstrate the ability to apply startegies for software project development</t>
  </si>
  <si>
    <t>Demonstrate the ability to apply tools for software project development</t>
  </si>
  <si>
    <t>Demonstrate the ability to use different programming paradigms.</t>
  </si>
  <si>
    <t>Demonstarte the  ability to use modern practices to achieve zest for higher studies</t>
  </si>
  <si>
    <t xml:space="preserve">Demonstrate the ability to use modern practical approaches for creation of innovative solutions. </t>
  </si>
  <si>
    <t>Demonstrate the ability to follow systematic approaches for becoming successful in career and entrepreneruship.</t>
  </si>
  <si>
    <t xml:space="preserve">Threshhold for attainment level </t>
  </si>
  <si>
    <t>% of students</t>
  </si>
  <si>
    <t>Overall Indirect %</t>
  </si>
  <si>
    <t>Overall CO Attainment</t>
  </si>
  <si>
    <t>Attainment of CO</t>
  </si>
  <si>
    <t xml:space="preserve">Overall CO Attainment </t>
  </si>
  <si>
    <t>Indirect through Course End Survey</t>
  </si>
  <si>
    <t># of student &gt;= of out of marks</t>
  </si>
  <si>
    <t xml:space="preserve">Fraction of Out of marks with respect to Threshold </t>
  </si>
  <si>
    <t>Reference : Number of students above threshold</t>
  </si>
  <si>
    <t>Reference : % of Number of students above threshold</t>
  </si>
  <si>
    <t>Attainment</t>
  </si>
  <si>
    <t>% of students above threshold</t>
  </si>
  <si>
    <t>% of students above threshhold</t>
  </si>
  <si>
    <r>
      <t xml:space="preserve">1. Apply the </t>
    </r>
    <r>
      <rPr>
        <sz val="10"/>
        <color rgb="FF17365D"/>
        <rFont val="Verdana"/>
        <family val="2"/>
      </rPr>
      <t>knowledge of mathematics</t>
    </r>
    <r>
      <rPr>
        <sz val="10"/>
        <color theme="1"/>
        <rFont val="Verdana"/>
        <family val="2"/>
      </rPr>
      <t xml:space="preserve">, </t>
    </r>
    <r>
      <rPr>
        <sz val="10"/>
        <color rgb="FF17365D"/>
        <rFont val="Verdana"/>
        <family val="2"/>
      </rPr>
      <t>science</t>
    </r>
    <r>
      <rPr>
        <sz val="10"/>
        <color theme="1"/>
        <rFont val="Verdana"/>
        <family val="2"/>
      </rPr>
      <t xml:space="preserve">, </t>
    </r>
    <r>
      <rPr>
        <sz val="10"/>
        <color rgb="FF17365D"/>
        <rFont val="Verdana"/>
        <family val="2"/>
      </rPr>
      <t>engineering fundamentals</t>
    </r>
    <r>
      <rPr>
        <sz val="10"/>
        <color theme="1"/>
        <rFont val="Verdana"/>
        <family val="2"/>
      </rPr>
      <t xml:space="preserve"> and </t>
    </r>
    <r>
      <rPr>
        <sz val="10"/>
        <color rgb="FF17365D"/>
        <rFont val="Verdana"/>
        <family val="2"/>
      </rPr>
      <t>engineering specialization</t>
    </r>
    <r>
      <rPr>
        <sz val="10"/>
        <color theme="1"/>
        <rFont val="Verdana"/>
        <family val="2"/>
      </rPr>
      <t xml:space="preserve"> to the solution of </t>
    </r>
    <r>
      <rPr>
        <sz val="10"/>
        <color rgb="FF17365D"/>
        <rFont val="Verdana"/>
        <family val="2"/>
      </rPr>
      <t>complex engineering problems</t>
    </r>
  </si>
  <si>
    <t>Reference Work</t>
  </si>
  <si>
    <t>Get from below reference work</t>
  </si>
  <si>
    <t>Programme Outcomes</t>
  </si>
  <si>
    <t>Table 2: PO Attainment Values (Direct Attainment)</t>
  </si>
  <si>
    <t>Get values from Course End sheet</t>
  </si>
  <si>
    <t>Programme Outcome attainment through Direct Attainment Method</t>
  </si>
  <si>
    <t xml:space="preserve">CO Assessment </t>
  </si>
  <si>
    <t>Name of School</t>
  </si>
  <si>
    <t>Get values from Examination sheet</t>
  </si>
  <si>
    <t>Direct through Examination</t>
  </si>
  <si>
    <t xml:space="preserve">Table 1 : Mapping of CO to PO/PSO </t>
  </si>
  <si>
    <t>No. of Students</t>
  </si>
  <si>
    <t>Academic Year</t>
  </si>
  <si>
    <t>Moderate</t>
  </si>
  <si>
    <t>Slight</t>
  </si>
  <si>
    <t>D Y Patil International University, Akurdi Pune</t>
  </si>
  <si>
    <t>PRN No.</t>
  </si>
  <si>
    <t>Name of Student</t>
  </si>
  <si>
    <t>Assessment 1</t>
  </si>
  <si>
    <t>Practical (Conduction + oral)</t>
  </si>
  <si>
    <t>Presentation</t>
  </si>
  <si>
    <t>Scaled to 30</t>
  </si>
  <si>
    <t>Mid Sem Marks</t>
  </si>
  <si>
    <t xml:space="preserve">Total Marks </t>
  </si>
  <si>
    <t>Unit Test</t>
  </si>
  <si>
    <t>Assignment</t>
  </si>
  <si>
    <t>AB</t>
  </si>
  <si>
    <t>End Sem Examination</t>
  </si>
  <si>
    <t>Question</t>
  </si>
  <si>
    <t>13A</t>
  </si>
  <si>
    <t>13B</t>
  </si>
  <si>
    <t>PRN</t>
  </si>
  <si>
    <t>CO1 &amp; CO2</t>
  </si>
  <si>
    <t>Computer Network and Security</t>
  </si>
  <si>
    <t>AY 2023-24</t>
  </si>
  <si>
    <t>I</t>
  </si>
  <si>
    <t>XYZ</t>
  </si>
  <si>
    <t>C321.1</t>
  </si>
  <si>
    <t>Interpret fundamental concepts of Computer Networks, architectures, protocols and technologies</t>
  </si>
  <si>
    <t>C321.2</t>
  </si>
  <si>
    <t>Demonstrate the working and functions of data link layer for flow and error control</t>
  </si>
  <si>
    <t>C321.3</t>
  </si>
  <si>
    <t>Analyze the working of different routing protocols and mechanisms for transmission of data</t>
  </si>
  <si>
    <t>C321.4</t>
  </si>
  <si>
    <t>Implement client-server applications using sockets</t>
  </si>
  <si>
    <t>C321.5</t>
  </si>
  <si>
    <t>Analyze role of application layer with its protocols, client-server architectures</t>
  </si>
  <si>
    <t>C321.6</t>
  </si>
  <si>
    <t>Interpret the basics of Network Security for secured communication</t>
  </si>
  <si>
    <t>-</t>
  </si>
  <si>
    <t>Line coding</t>
  </si>
  <si>
    <t>Parity bits</t>
  </si>
  <si>
    <t>IP addresing</t>
  </si>
  <si>
    <t>addressing</t>
  </si>
  <si>
    <t>fibre optics transmission</t>
  </si>
  <si>
    <t>design issues</t>
  </si>
  <si>
    <t>connectivity</t>
  </si>
  <si>
    <t>Protocols</t>
  </si>
  <si>
    <t>connection protocols</t>
  </si>
  <si>
    <t>types, models. Architecture</t>
  </si>
  <si>
    <t>flowcontrol, IEEE standards</t>
  </si>
  <si>
    <t>IEEE standards</t>
  </si>
  <si>
    <t>routing</t>
  </si>
  <si>
    <t>Applications</t>
  </si>
  <si>
    <t>Security</t>
  </si>
  <si>
    <t>Line encoding</t>
  </si>
  <si>
    <t>flow control</t>
  </si>
  <si>
    <t>security</t>
  </si>
  <si>
    <t>architecture</t>
  </si>
  <si>
    <t xml:space="preserve">protocols </t>
  </si>
  <si>
    <t>cryptography</t>
  </si>
  <si>
    <t>models</t>
  </si>
  <si>
    <t>sliding window protocol</t>
  </si>
  <si>
    <t>QoS</t>
  </si>
  <si>
    <t>IPSec</t>
  </si>
  <si>
    <t>error control codes</t>
  </si>
  <si>
    <t>SSL</t>
  </si>
  <si>
    <t xml:space="preserve">connection </t>
  </si>
  <si>
    <t>Network security</t>
  </si>
  <si>
    <t>encoding</t>
  </si>
  <si>
    <t>codes</t>
  </si>
  <si>
    <t>design</t>
  </si>
  <si>
    <t>congestion control</t>
  </si>
  <si>
    <t>layered protocol model</t>
  </si>
  <si>
    <t xml:space="preserve"> logical link control design issues </t>
  </si>
  <si>
    <t>organizational structure</t>
  </si>
  <si>
    <t>media access contention</t>
  </si>
  <si>
    <t>Real time applications</t>
  </si>
  <si>
    <t>assignment of IP addresses</t>
  </si>
  <si>
    <t xml:space="preserve">architectures and prototypes </t>
  </si>
  <si>
    <t>applications</t>
  </si>
  <si>
    <t>protocol</t>
  </si>
  <si>
    <t>model</t>
  </si>
  <si>
    <t>error control</t>
  </si>
  <si>
    <t>socket</t>
  </si>
  <si>
    <t>contention</t>
  </si>
  <si>
    <t>congetsion</t>
  </si>
  <si>
    <t>Model</t>
  </si>
  <si>
    <t>CRC</t>
  </si>
  <si>
    <t>IP addressing</t>
  </si>
  <si>
    <t>application</t>
  </si>
  <si>
    <t>Secuity</t>
  </si>
  <si>
    <t>NETAM RITESH PRAKASH</t>
  </si>
  <si>
    <t>KAMBLE AMEYA DNYANESHWAR</t>
  </si>
  <si>
    <t>TEKAM SANJIVANI SURESH</t>
  </si>
  <si>
    <t>KUWAR ABHIJEET VIJAYSING</t>
  </si>
  <si>
    <t>ROHAN SUNIL BORSE</t>
  </si>
  <si>
    <t>GALANDE NIKHIL SHRINIVAS</t>
  </si>
  <si>
    <t>FAZAL S</t>
  </si>
  <si>
    <t>TEJARAM CHOUDHARY</t>
  </si>
  <si>
    <t>GORULE GURUNATH VILAS</t>
  </si>
  <si>
    <t>KADAM SUJAL PRABHAKAR</t>
  </si>
  <si>
    <t>JAWALE PRATHAM RAJESH</t>
  </si>
  <si>
    <t>TADAVI NIHAL KURBAN</t>
  </si>
  <si>
    <t>DUMBHARE DEVASHISH ASHOK</t>
  </si>
  <si>
    <t>JAGTAP ATHARVA AJIT</t>
  </si>
  <si>
    <t>DIVYA MANKOTIA</t>
  </si>
  <si>
    <t>MODI RAINEE</t>
  </si>
  <si>
    <t>KAMBLE TEJASWINI PRAVIN</t>
  </si>
  <si>
    <t>BHARSKAR TEJAS VISHNU</t>
  </si>
  <si>
    <t>WARE PRASAD DHONDIRAM</t>
  </si>
  <si>
    <t>ILHE SHREYASH NAMDEV</t>
  </si>
  <si>
    <t>DURVESH VISHWAS PATIL</t>
  </si>
  <si>
    <t>MAHAJAN GAURAV NAMDEO</t>
  </si>
  <si>
    <t>TAGADE ANUSHKA AJAYKUMAR</t>
  </si>
  <si>
    <t>INGAWALE PRANJALI WAMANRAO</t>
  </si>
  <si>
    <t>Student Assessment Semester --- - AY ------</t>
  </si>
  <si>
    <t>Subject Name (Course Code)</t>
  </si>
  <si>
    <t>Name of the School</t>
  </si>
  <si>
    <t>Substantial</t>
  </si>
  <si>
    <t>CO1 to CO6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</si>
</sst>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Arial"/>
    </font>
    <font>
      <sz val="11"/>
      <color theme="1"/>
      <name val="Calibri"/>
      <family val="2"/>
      <scheme val="minor"/>
    </font>
    <font>
      <sz val="12"/>
      <color theme="1"/>
      <name val="Times New Roman"/>
      <family val="1"/>
    </font>
    <font>
      <sz val="11"/>
      <color indexed="8"/>
      <name val="Calibri"/>
      <family val="2"/>
    </font>
    <font>
      <sz val="12"/>
      <color rgb="FF17365D"/>
      <name val="Times New Roman"/>
      <family val="1"/>
    </font>
    <font>
      <sz val="9"/>
      <color indexed="81"/>
      <name val="Tahoma"/>
      <family val="2"/>
    </font>
    <font>
      <b/>
      <sz val="9"/>
      <color indexed="81"/>
      <name val="Tahoma"/>
      <family val="2"/>
    </font>
    <font>
      <sz val="11"/>
      <color theme="1"/>
      <name val="Verdana"/>
      <family val="2"/>
    </font>
    <font>
      <b/>
      <sz val="11"/>
      <color theme="1"/>
      <name val="Verdana"/>
      <family val="2"/>
    </font>
    <font>
      <sz val="11"/>
      <name val="Verdana"/>
      <family val="2"/>
    </font>
    <font>
      <b/>
      <sz val="11"/>
      <name val="Verdana"/>
      <family val="2"/>
    </font>
    <font>
      <sz val="11"/>
      <color rgb="FF000000"/>
      <name val="Verdana"/>
      <family val="2"/>
    </font>
    <font>
      <b/>
      <sz val="10"/>
      <color theme="1"/>
      <name val="Verdana"/>
      <family val="2"/>
    </font>
    <font>
      <sz val="10"/>
      <name val="Verdana"/>
      <family val="2"/>
    </font>
    <font>
      <sz val="10"/>
      <color theme="1"/>
      <name val="Verdana"/>
      <family val="2"/>
    </font>
    <font>
      <sz val="10"/>
      <color rgb="FF17365D"/>
      <name val="Verdana"/>
      <family val="2"/>
    </font>
    <font>
      <b/>
      <sz val="10"/>
      <name val="Verdana"/>
      <family val="2"/>
    </font>
    <font>
      <b/>
      <sz val="9"/>
      <name val="Verdana"/>
      <family val="2"/>
    </font>
    <font>
      <sz val="10"/>
      <color rgb="FF000000"/>
      <name val="Verdana"/>
      <family val="2"/>
    </font>
    <font>
      <sz val="8"/>
      <color theme="1"/>
      <name val="Verdana"/>
      <family val="2"/>
    </font>
    <font>
      <b/>
      <sz val="9"/>
      <color theme="1"/>
      <name val="Verdana"/>
      <family val="2"/>
    </font>
    <font>
      <sz val="9"/>
      <color theme="1"/>
      <name val="Verdana"/>
      <family val="2"/>
    </font>
    <font>
      <sz val="9"/>
      <color theme="9" tint="-0.499984740745262"/>
      <name val="Verdana"/>
      <family val="2"/>
    </font>
    <font>
      <b/>
      <sz val="11"/>
      <color theme="1"/>
      <name val="Calibri"/>
      <family val="2"/>
      <scheme val="minor"/>
    </font>
    <font>
      <b/>
      <sz val="14"/>
      <color theme="1"/>
      <name val="Calibri"/>
      <family val="2"/>
      <scheme val="minor"/>
    </font>
    <font>
      <sz val="11"/>
      <color rgb="FF000000"/>
      <name val="Cambria"/>
      <family val="1"/>
    </font>
    <font>
      <sz val="11"/>
      <color theme="1"/>
      <name val="Cambria"/>
      <family val="1"/>
    </font>
    <font>
      <sz val="10"/>
      <color rgb="FF000000"/>
      <name val="Calibri"/>
      <family val="2"/>
    </font>
    <font>
      <sz val="11"/>
      <color theme="1"/>
      <name val="Arial"/>
      <family val="2"/>
    </font>
    <font>
      <sz val="11"/>
      <color theme="1"/>
      <name val="Verdana"/>
    </font>
    <font>
      <sz val="11"/>
      <name val="Arial"/>
    </font>
    <font>
      <b/>
      <sz val="10"/>
      <color theme="1"/>
      <name val="Verdana"/>
    </font>
    <font>
      <sz val="10"/>
      <color theme="1"/>
      <name val="Verdana"/>
    </font>
    <font>
      <sz val="8"/>
      <color rgb="FF000000"/>
      <name val="Verdana"/>
    </font>
    <font>
      <sz val="8"/>
      <color theme="1"/>
      <name val="Verdana"/>
    </font>
    <font>
      <sz val="12"/>
      <color theme="1"/>
      <name val="Times New Roman"/>
    </font>
    <font>
      <sz val="9"/>
      <color rgb="FF000000"/>
      <name val="Times New Roman"/>
    </font>
    <font>
      <b/>
      <sz val="11"/>
      <color theme="1"/>
      <name val="Arial"/>
      <family val="2"/>
    </font>
  </fonts>
  <fills count="42">
    <fill>
      <patternFill patternType="none"/>
    </fill>
    <fill>
      <patternFill patternType="gray125"/>
    </fill>
    <fill>
      <patternFill patternType="solid">
        <fgColor rgb="FFFDE9D9"/>
        <bgColor rgb="FFFDE9D9"/>
      </patternFill>
    </fill>
    <fill>
      <patternFill patternType="solid">
        <fgColor rgb="FFB6DDE8"/>
        <bgColor rgb="FFB6DDE8"/>
      </patternFill>
    </fill>
    <fill>
      <patternFill patternType="solid">
        <fgColor rgb="FFC6D9F0"/>
        <bgColor rgb="FFC6D9F0"/>
      </patternFill>
    </fill>
    <fill>
      <patternFill patternType="solid">
        <fgColor rgb="FFF2F2F2"/>
        <bgColor rgb="FFF2F2F2"/>
      </patternFill>
    </fill>
    <fill>
      <patternFill patternType="solid">
        <fgColor rgb="FFDAEEF3"/>
        <bgColor rgb="FFDAEEF3"/>
      </patternFill>
    </fill>
    <fill>
      <patternFill patternType="solid">
        <fgColor rgb="FFF2DBDB"/>
        <bgColor rgb="FFF2DBDB"/>
      </patternFill>
    </fill>
    <fill>
      <patternFill patternType="solid">
        <fgColor rgb="FFEEECE1"/>
        <bgColor rgb="FFEEECE1"/>
      </patternFill>
    </fill>
    <fill>
      <patternFill patternType="solid">
        <fgColor rgb="FFE5DFEC"/>
        <bgColor rgb="FFE5DFEC"/>
      </patternFill>
    </fill>
    <fill>
      <patternFill patternType="solid">
        <fgColor rgb="FFEAF1DD"/>
        <bgColor rgb="FFEAF1DD"/>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2" tint="-4.9989318521683403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theme="0"/>
        <bgColor rgb="FFD99594"/>
      </patternFill>
    </fill>
    <fill>
      <patternFill patternType="solid">
        <fgColor theme="0"/>
        <bgColor rgb="FFB6DDE8"/>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92D050"/>
      </patternFill>
    </fill>
    <fill>
      <patternFill patternType="solid">
        <fgColor theme="4" tint="0.79998168889431442"/>
        <bgColor indexed="64"/>
      </patternFill>
    </fill>
    <fill>
      <patternFill patternType="solid">
        <fgColor theme="8" tint="0.79998168889431442"/>
        <bgColor rgb="FFD99594"/>
      </patternFill>
    </fill>
    <fill>
      <patternFill patternType="solid">
        <fgColor theme="8" tint="0.39997558519241921"/>
        <bgColor rgb="FFFDE9D9"/>
      </patternFill>
    </fill>
    <fill>
      <patternFill patternType="solid">
        <fgColor theme="8" tint="0.59999389629810485"/>
        <bgColor indexed="64"/>
      </patternFill>
    </fill>
    <fill>
      <patternFill patternType="solid">
        <fgColor theme="8" tint="0.39997558519241921"/>
        <bgColor rgb="FFB2A1C7"/>
      </patternFill>
    </fill>
    <fill>
      <patternFill patternType="solid">
        <fgColor theme="0" tint="-4.9989318521683403E-2"/>
        <bgColor rgb="FF92D050"/>
      </patternFill>
    </fill>
    <fill>
      <patternFill patternType="solid">
        <fgColor theme="8" tint="0.79998168889431442"/>
        <bgColor rgb="FF92D050"/>
      </patternFill>
    </fill>
    <fill>
      <patternFill patternType="solid">
        <fgColor theme="0"/>
        <bgColor theme="0"/>
      </patternFill>
    </fill>
    <fill>
      <patternFill patternType="solid">
        <fgColor rgb="FFFFFFFF"/>
        <bgColor indexed="64"/>
      </patternFill>
    </fill>
    <fill>
      <patternFill patternType="solid">
        <fgColor rgb="FFD8D8D8"/>
        <bgColor rgb="FFD8D8D8"/>
      </patternFill>
    </fill>
    <fill>
      <patternFill patternType="solid">
        <fgColor rgb="FFC2D69B"/>
        <bgColor rgb="FFC2D69B"/>
      </patternFill>
    </fill>
    <fill>
      <patternFill patternType="solid">
        <fgColor rgb="FF92D050"/>
        <bgColor rgb="FF92D050"/>
      </patternFill>
    </fill>
    <fill>
      <patternFill patternType="solid">
        <fgColor rgb="FF76923C"/>
        <bgColor rgb="FF76923C"/>
      </patternFill>
    </fill>
  </fills>
  <borders count="5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style="thin">
        <color rgb="FF000000"/>
      </right>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mediumDashed">
        <color theme="4" tint="-0.499984740745262"/>
      </left>
      <right style="thin">
        <color indexed="64"/>
      </right>
      <top style="mediumDashed">
        <color theme="4" tint="-0.499984740745262"/>
      </top>
      <bottom style="thin">
        <color indexed="64"/>
      </bottom>
      <diagonal/>
    </border>
    <border>
      <left style="thin">
        <color indexed="64"/>
      </left>
      <right style="thin">
        <color indexed="64"/>
      </right>
      <top style="mediumDashed">
        <color theme="4" tint="-0.499984740745262"/>
      </top>
      <bottom style="thin">
        <color indexed="64"/>
      </bottom>
      <diagonal/>
    </border>
    <border>
      <left/>
      <right/>
      <top style="mediumDashed">
        <color theme="4" tint="-0.499984740745262"/>
      </top>
      <bottom/>
      <diagonal/>
    </border>
    <border>
      <left/>
      <right style="mediumDashed">
        <color theme="4" tint="-0.499984740745262"/>
      </right>
      <top style="mediumDashed">
        <color theme="4" tint="-0.499984740745262"/>
      </top>
      <bottom/>
      <diagonal/>
    </border>
    <border>
      <left style="mediumDashed">
        <color theme="4" tint="-0.499984740745262"/>
      </left>
      <right/>
      <top/>
      <bottom/>
      <diagonal/>
    </border>
    <border>
      <left/>
      <right style="mediumDashed">
        <color theme="4" tint="-0.499984740745262"/>
      </right>
      <top/>
      <bottom/>
      <diagonal/>
    </border>
    <border>
      <left style="mediumDashed">
        <color theme="4" tint="-0.499984740745262"/>
      </left>
      <right/>
      <top style="thin">
        <color indexed="64"/>
      </top>
      <bottom/>
      <diagonal/>
    </border>
    <border>
      <left style="mediumDashed">
        <color theme="4" tint="-0.499984740745262"/>
      </left>
      <right/>
      <top/>
      <bottom style="thin">
        <color indexed="64"/>
      </bottom>
      <diagonal/>
    </border>
    <border>
      <left style="mediumDashed">
        <color theme="4" tint="-0.499984740745262"/>
      </left>
      <right/>
      <top/>
      <bottom style="mediumDashed">
        <color theme="4" tint="-0.499984740745262"/>
      </bottom>
      <diagonal/>
    </border>
    <border>
      <left style="thin">
        <color indexed="64"/>
      </left>
      <right style="thin">
        <color indexed="64"/>
      </right>
      <top style="thin">
        <color indexed="64"/>
      </top>
      <bottom style="mediumDashed">
        <color theme="4" tint="-0.499984740745262"/>
      </bottom>
      <diagonal/>
    </border>
    <border>
      <left/>
      <right/>
      <top/>
      <bottom style="mediumDashed">
        <color theme="4" tint="-0.499984740745262"/>
      </bottom>
      <diagonal/>
    </border>
    <border>
      <left/>
      <right style="mediumDashed">
        <color theme="4" tint="-0.499984740745262"/>
      </right>
      <top/>
      <bottom style="mediumDashed">
        <color theme="4" tint="-0.499984740745262"/>
      </bottom>
      <diagonal/>
    </border>
    <border>
      <left/>
      <right style="thin">
        <color indexed="64"/>
      </right>
      <top/>
      <bottom style="mediumDashed">
        <color theme="4"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right/>
      <top/>
      <bottom style="thin">
        <color indexed="64"/>
      </bottom>
      <diagonal/>
    </border>
    <border>
      <left style="thin">
        <color indexed="64"/>
      </left>
      <right style="thin">
        <color theme="4" tint="-0.499984740745262"/>
      </right>
      <top style="thin">
        <color indexed="64"/>
      </top>
      <bottom style="thin">
        <color indexed="64"/>
      </bottom>
      <diagonal/>
    </border>
    <border>
      <left style="thin">
        <color theme="4" tint="-0.499984740745262"/>
      </left>
      <right style="thin">
        <color theme="4" tint="-0.499984740745262"/>
      </right>
      <top style="thin">
        <color indexed="64"/>
      </top>
      <bottom style="thin">
        <color indexed="64"/>
      </bottom>
      <diagonal/>
    </border>
    <border>
      <left style="thin">
        <color theme="4" tint="-0.499984740745262"/>
      </left>
      <right style="thin">
        <color indexed="64"/>
      </right>
      <top style="thin">
        <color indexed="64"/>
      </top>
      <bottom style="thin">
        <color indexed="64"/>
      </bottom>
      <diagonal/>
    </border>
    <border>
      <left style="thin">
        <color rgb="FF244061"/>
      </left>
      <right/>
      <top style="thin">
        <color rgb="FF244061"/>
      </top>
      <bottom style="thin">
        <color rgb="FF244061"/>
      </bottom>
      <diagonal/>
    </border>
    <border>
      <left/>
      <right/>
      <top style="thin">
        <color rgb="FF244061"/>
      </top>
      <bottom style="thin">
        <color rgb="FF244061"/>
      </bottom>
      <diagonal/>
    </border>
    <border>
      <left/>
      <right style="thin">
        <color rgb="FF244061"/>
      </right>
      <top style="thin">
        <color rgb="FF244061"/>
      </top>
      <bottom style="thin">
        <color rgb="FF244061"/>
      </bottom>
      <diagonal/>
    </border>
    <border>
      <left style="thin">
        <color rgb="FF244061"/>
      </left>
      <right style="thin">
        <color rgb="FF244061"/>
      </right>
      <top style="thin">
        <color rgb="FF244061"/>
      </top>
      <bottom style="thin">
        <color rgb="FF244061"/>
      </bottom>
      <diagonal/>
    </border>
  </borders>
  <cellStyleXfs count="3">
    <xf numFmtId="0" fontId="0" fillId="0" borderId="0"/>
    <xf numFmtId="0" fontId="1" fillId="0" borderId="13"/>
    <xf numFmtId="0" fontId="3" fillId="0" borderId="13"/>
  </cellStyleXfs>
  <cellXfs count="336">
    <xf numFmtId="0" fontId="0" fillId="0" borderId="0" xfId="0" applyFont="1" applyAlignment="1"/>
    <xf numFmtId="0" fontId="2" fillId="13" borderId="14" xfId="1" applyFont="1" applyFill="1" applyBorder="1" applyAlignment="1">
      <alignment horizontal="left" vertical="center" wrapText="1"/>
    </xf>
    <xf numFmtId="0" fontId="2" fillId="17" borderId="15" xfId="1" applyFont="1" applyFill="1" applyBorder="1" applyAlignment="1">
      <alignment horizontal="left" vertical="center" wrapText="1"/>
    </xf>
    <xf numFmtId="0" fontId="2" fillId="19" borderId="15" xfId="1" applyFont="1" applyFill="1" applyBorder="1" applyAlignment="1">
      <alignment horizontal="left" vertical="center" wrapText="1"/>
    </xf>
    <xf numFmtId="0" fontId="2" fillId="0" borderId="16" xfId="1" applyFont="1" applyFill="1" applyBorder="1" applyAlignment="1">
      <alignment horizontal="left" vertical="center" wrapText="1"/>
    </xf>
    <xf numFmtId="0" fontId="2" fillId="12" borderId="15" xfId="1" applyFont="1" applyFill="1" applyBorder="1" applyAlignment="1">
      <alignment horizontal="left" vertical="center" wrapText="1"/>
    </xf>
    <xf numFmtId="0" fontId="2" fillId="16" borderId="15" xfId="1" applyFont="1" applyFill="1" applyBorder="1" applyAlignment="1">
      <alignment horizontal="left" vertical="center" wrapText="1"/>
    </xf>
    <xf numFmtId="0" fontId="2" fillId="11" borderId="15" xfId="1" applyFont="1" applyFill="1" applyBorder="1" applyAlignment="1">
      <alignment horizontal="left" vertical="center" wrapText="1"/>
    </xf>
    <xf numFmtId="0" fontId="2" fillId="15" borderId="15" xfId="1"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xf numFmtId="0" fontId="2" fillId="0" borderId="6" xfId="0" applyFont="1" applyBorder="1" applyAlignment="1">
      <alignment horizontal="left" vertical="center" wrapText="1"/>
    </xf>
    <xf numFmtId="0" fontId="2" fillId="0" borderId="14" xfId="1" applyFont="1" applyBorder="1" applyAlignment="1">
      <alignment horizontal="left" vertical="center" wrapText="1"/>
    </xf>
    <xf numFmtId="0" fontId="2" fillId="17" borderId="14" xfId="1" applyFont="1" applyFill="1" applyBorder="1" applyAlignment="1">
      <alignment horizontal="left" vertical="center" wrapText="1"/>
    </xf>
    <xf numFmtId="0" fontId="2" fillId="19" borderId="14" xfId="1" applyFont="1" applyFill="1" applyBorder="1" applyAlignment="1">
      <alignment horizontal="left" vertical="center" wrapText="1"/>
    </xf>
    <xf numFmtId="0" fontId="2" fillId="0" borderId="11" xfId="0" applyFont="1" applyBorder="1" applyAlignment="1">
      <alignment horizontal="left" vertical="center" wrapText="1"/>
    </xf>
    <xf numFmtId="0" fontId="2" fillId="12" borderId="14" xfId="1" applyFont="1" applyFill="1" applyBorder="1" applyAlignment="1">
      <alignment horizontal="left" vertical="center" wrapText="1"/>
    </xf>
    <xf numFmtId="0" fontId="2" fillId="18" borderId="14" xfId="1" applyFont="1" applyFill="1" applyBorder="1" applyAlignment="1">
      <alignment horizontal="left" vertical="center" wrapText="1"/>
    </xf>
    <xf numFmtId="0" fontId="2" fillId="11" borderId="14" xfId="1" applyFont="1" applyFill="1" applyBorder="1" applyAlignment="1">
      <alignment horizontal="left" vertical="center" wrapText="1"/>
    </xf>
    <xf numFmtId="0" fontId="2" fillId="15" borderId="14" xfId="1"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5" xfId="1" applyFont="1" applyBorder="1" applyAlignment="1">
      <alignment horizontal="left" vertical="center" wrapText="1"/>
    </xf>
    <xf numFmtId="0" fontId="2" fillId="0" borderId="12" xfId="0" applyFont="1" applyBorder="1" applyAlignment="1">
      <alignment horizontal="left" vertical="center" wrapText="1"/>
    </xf>
    <xf numFmtId="0" fontId="2" fillId="0" borderId="5" xfId="0" applyFont="1" applyBorder="1" applyAlignment="1">
      <alignment horizontal="left" vertical="center" wrapText="1"/>
    </xf>
    <xf numFmtId="0" fontId="2" fillId="26" borderId="0" xfId="0" applyFont="1" applyFill="1" applyAlignment="1"/>
    <xf numFmtId="0" fontId="2" fillId="26" borderId="0" xfId="0" applyFont="1" applyFill="1" applyAlignment="1">
      <alignment vertical="center" wrapText="1"/>
    </xf>
    <xf numFmtId="0" fontId="2" fillId="26" borderId="14" xfId="1" applyFont="1" applyFill="1" applyBorder="1" applyAlignment="1">
      <alignment horizontal="left" vertical="center" wrapText="1"/>
    </xf>
    <xf numFmtId="0" fontId="2" fillId="26" borderId="18" xfId="1" applyFont="1" applyFill="1" applyBorder="1" applyAlignment="1">
      <alignment horizontal="left" vertical="center" wrapText="1"/>
    </xf>
    <xf numFmtId="0" fontId="2" fillId="26" borderId="24" xfId="1" applyFont="1" applyFill="1" applyBorder="1" applyAlignment="1">
      <alignment horizontal="left" vertical="center" wrapText="1"/>
    </xf>
    <xf numFmtId="0" fontId="2" fillId="26" borderId="15" xfId="1" applyFont="1" applyFill="1" applyBorder="1" applyAlignment="1">
      <alignment horizontal="left" vertical="center" wrapText="1"/>
    </xf>
    <xf numFmtId="0" fontId="2" fillId="26" borderId="25" xfId="1" applyFont="1" applyFill="1" applyBorder="1" applyAlignment="1">
      <alignment horizontal="left" vertical="center" wrapText="1"/>
    </xf>
    <xf numFmtId="0" fontId="7" fillId="0" borderId="0" xfId="0" applyFont="1" applyAlignment="1"/>
    <xf numFmtId="0" fontId="14" fillId="0" borderId="0" xfId="0" applyFont="1" applyAlignment="1"/>
    <xf numFmtId="0" fontId="14" fillId="13" borderId="14" xfId="1" applyFont="1" applyFill="1" applyBorder="1" applyAlignment="1">
      <alignment horizontal="left" vertical="center" wrapText="1"/>
    </xf>
    <xf numFmtId="0" fontId="12" fillId="3" borderId="4" xfId="0" applyFont="1" applyFill="1" applyBorder="1" applyAlignment="1">
      <alignment horizontal="left" vertical="center" wrapText="1"/>
    </xf>
    <xf numFmtId="0" fontId="7" fillId="0" borderId="13" xfId="0" applyFont="1" applyBorder="1" applyAlignment="1"/>
    <xf numFmtId="0" fontId="13" fillId="26" borderId="9" xfId="0" applyFont="1" applyFill="1" applyBorder="1" applyAlignment="1">
      <alignment horizontal="left"/>
    </xf>
    <xf numFmtId="0" fontId="14" fillId="24" borderId="9" xfId="0" applyFont="1" applyFill="1" applyBorder="1" applyAlignment="1">
      <alignment horizontal="left" vertical="center" wrapText="1"/>
    </xf>
    <xf numFmtId="0" fontId="14" fillId="0" borderId="0" xfId="0" applyFont="1" applyAlignment="1">
      <alignment vertical="center" wrapText="1"/>
    </xf>
    <xf numFmtId="0" fontId="12" fillId="25" borderId="6"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12" fillId="25" borderId="6" xfId="0" applyFont="1" applyFill="1" applyBorder="1" applyAlignment="1">
      <alignment horizontal="center" vertical="center" wrapText="1"/>
    </xf>
    <xf numFmtId="0" fontId="14" fillId="27" borderId="14" xfId="1" applyFont="1" applyFill="1" applyBorder="1" applyAlignment="1">
      <alignment horizontal="left" vertical="center" wrapText="1"/>
    </xf>
    <xf numFmtId="0" fontId="14" fillId="26" borderId="14" xfId="1" applyFont="1" applyFill="1" applyBorder="1" applyAlignment="1">
      <alignment horizontal="left" vertical="center" wrapText="1"/>
    </xf>
    <xf numFmtId="0" fontId="14" fillId="0" borderId="6" xfId="0" applyFont="1" applyBorder="1" applyAlignment="1">
      <alignment horizontal="left" vertical="center" wrapText="1"/>
    </xf>
    <xf numFmtId="0" fontId="14" fillId="0" borderId="14" xfId="1" applyFont="1" applyBorder="1" applyAlignment="1">
      <alignment horizontal="left" vertical="center" wrapText="1"/>
    </xf>
    <xf numFmtId="0" fontId="14" fillId="26" borderId="18" xfId="1" applyFont="1" applyFill="1" applyBorder="1" applyAlignment="1">
      <alignment horizontal="left" vertical="center" wrapText="1"/>
    </xf>
    <xf numFmtId="0" fontId="14" fillId="0" borderId="10" xfId="0" applyFont="1" applyBorder="1" applyAlignment="1">
      <alignment horizontal="left" vertical="center" wrapText="1"/>
    </xf>
    <xf numFmtId="0" fontId="14" fillId="0" borderId="15" xfId="1" applyFont="1" applyBorder="1" applyAlignment="1">
      <alignment horizontal="left" vertical="center" wrapText="1"/>
    </xf>
    <xf numFmtId="0" fontId="14" fillId="26" borderId="24" xfId="1" applyFont="1" applyFill="1" applyBorder="1" applyAlignment="1">
      <alignment horizontal="left" vertical="center" wrapText="1"/>
    </xf>
    <xf numFmtId="0" fontId="14" fillId="27" borderId="15" xfId="1" applyFont="1" applyFill="1" applyBorder="1" applyAlignment="1">
      <alignment horizontal="left" vertical="center" wrapText="1"/>
    </xf>
    <xf numFmtId="0" fontId="14" fillId="26" borderId="15" xfId="1" applyFont="1" applyFill="1" applyBorder="1" applyAlignment="1">
      <alignment horizontal="left" vertical="center" wrapText="1"/>
    </xf>
    <xf numFmtId="0" fontId="14" fillId="26" borderId="0" xfId="0" applyFont="1" applyFill="1" applyAlignment="1"/>
    <xf numFmtId="0" fontId="12" fillId="3" borderId="4" xfId="0" applyFont="1" applyFill="1" applyBorder="1" applyAlignment="1">
      <alignment horizontal="center" vertical="center" wrapText="1"/>
    </xf>
    <xf numFmtId="0" fontId="14" fillId="26" borderId="13" xfId="1" applyFont="1" applyFill="1" applyBorder="1" applyAlignment="1">
      <alignment horizontal="left" vertical="center" wrapText="1"/>
    </xf>
    <xf numFmtId="0" fontId="14" fillId="0" borderId="13" xfId="0" applyFont="1" applyBorder="1" applyAlignment="1">
      <alignment horizontal="left" vertical="center" wrapText="1"/>
    </xf>
    <xf numFmtId="0" fontId="14" fillId="0" borderId="13" xfId="1" applyFont="1" applyFill="1" applyBorder="1" applyAlignment="1">
      <alignment horizontal="left" vertical="center" wrapText="1"/>
    </xf>
    <xf numFmtId="0" fontId="14" fillId="0" borderId="6" xfId="0" applyFont="1" applyBorder="1" applyAlignment="1" applyProtection="1">
      <alignment horizontal="center" vertical="center"/>
      <protection hidden="1"/>
    </xf>
    <xf numFmtId="0" fontId="7" fillId="0" borderId="13" xfId="0" applyFont="1" applyBorder="1" applyAlignment="1" applyProtection="1">
      <protection locked="0"/>
    </xf>
    <xf numFmtId="0" fontId="7" fillId="0" borderId="0" xfId="0" applyFont="1" applyAlignment="1" applyProtection="1">
      <protection locked="0"/>
    </xf>
    <xf numFmtId="0" fontId="14" fillId="0" borderId="13"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4" fillId="15" borderId="26" xfId="0" applyFont="1" applyFill="1" applyBorder="1" applyAlignment="1" applyProtection="1">
      <alignment horizontal="center" vertical="center"/>
      <protection locked="0"/>
    </xf>
    <xf numFmtId="0" fontId="14" fillId="0" borderId="0" xfId="0" applyFont="1" applyAlignment="1" applyProtection="1">
      <protection locked="0"/>
    </xf>
    <xf numFmtId="0" fontId="13" fillId="0" borderId="13" xfId="0" applyFont="1" applyBorder="1" applyAlignment="1" applyProtection="1">
      <protection locked="0"/>
    </xf>
    <xf numFmtId="0" fontId="12" fillId="23" borderId="26" xfId="0" applyFont="1" applyFill="1" applyBorder="1" applyAlignment="1" applyProtection="1">
      <alignment vertical="center"/>
      <protection locked="0"/>
    </xf>
    <xf numFmtId="0" fontId="12" fillId="0" borderId="13" xfId="0" applyFont="1" applyFill="1" applyBorder="1" applyAlignment="1" applyProtection="1">
      <alignment horizontal="center" vertical="center"/>
      <protection locked="0"/>
    </xf>
    <xf numFmtId="0" fontId="14" fillId="0" borderId="0" xfId="0" applyFont="1" applyFill="1" applyAlignment="1" applyProtection="1">
      <alignment horizontal="center" vertical="center"/>
      <protection locked="0"/>
    </xf>
    <xf numFmtId="0" fontId="14" fillId="12" borderId="14" xfId="0" applyFont="1" applyFill="1" applyBorder="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3" borderId="4" xfId="0" applyFont="1" applyFill="1" applyBorder="1" applyAlignment="1" applyProtection="1">
      <alignment horizontal="center" vertical="center"/>
      <protection locked="0"/>
    </xf>
    <xf numFmtId="0" fontId="12" fillId="23" borderId="6" xfId="0" applyFont="1" applyFill="1" applyBorder="1" applyAlignment="1" applyProtection="1">
      <alignment horizontal="center" vertical="center"/>
      <protection locked="0"/>
    </xf>
    <xf numFmtId="0" fontId="12" fillId="23" borderId="10" xfId="0" applyFont="1" applyFill="1" applyBorder="1" applyAlignment="1" applyProtection="1">
      <alignment horizontal="center" vertical="center"/>
      <protection locked="0"/>
    </xf>
    <xf numFmtId="0" fontId="12" fillId="23" borderId="5" xfId="0" applyFont="1" applyFill="1" applyBorder="1" applyAlignment="1" applyProtection="1">
      <alignment horizontal="center" vertical="center"/>
      <protection locked="0"/>
    </xf>
    <xf numFmtId="0" fontId="12" fillId="23" borderId="15" xfId="0" applyFont="1" applyFill="1" applyBorder="1" applyAlignment="1" applyProtection="1">
      <alignment horizontal="center" vertical="center"/>
      <protection locked="0"/>
    </xf>
    <xf numFmtId="0" fontId="14" fillId="19" borderId="6" xfId="0" applyFont="1" applyFill="1" applyBorder="1" applyAlignment="1" applyProtection="1">
      <alignment horizontal="center" vertical="center"/>
      <protection locked="0"/>
    </xf>
    <xf numFmtId="0" fontId="18" fillId="19" borderId="6" xfId="0" applyFont="1" applyFill="1" applyBorder="1" applyAlignment="1" applyProtection="1">
      <protection locked="0"/>
    </xf>
    <xf numFmtId="0" fontId="14" fillId="34" borderId="6" xfId="0" applyFont="1" applyFill="1" applyBorder="1" applyAlignment="1" applyProtection="1">
      <alignment horizontal="center" vertical="center"/>
      <protection locked="0"/>
    </xf>
    <xf numFmtId="0" fontId="14" fillId="34" borderId="4" xfId="0" applyFont="1" applyFill="1" applyBorder="1" applyAlignment="1" applyProtection="1">
      <alignment horizontal="center" vertical="center"/>
      <protection locked="0"/>
    </xf>
    <xf numFmtId="0" fontId="7" fillId="26" borderId="0" xfId="0" applyFont="1" applyFill="1" applyAlignment="1" applyProtection="1">
      <protection locked="0"/>
    </xf>
    <xf numFmtId="0" fontId="7" fillId="0" borderId="0" xfId="0" applyFont="1" applyAlignment="1" applyProtection="1">
      <alignment horizontal="center" vertical="center"/>
      <protection locked="0"/>
    </xf>
    <xf numFmtId="0" fontId="12" fillId="20" borderId="13" xfId="0" applyFont="1" applyFill="1" applyBorder="1" applyAlignment="1" applyProtection="1">
      <alignment horizontal="center" vertical="center"/>
      <protection locked="0"/>
    </xf>
    <xf numFmtId="0" fontId="12" fillId="28" borderId="14" xfId="0" applyFont="1" applyFill="1" applyBorder="1" applyAlignment="1" applyProtection="1">
      <alignment horizontal="center" vertical="center"/>
      <protection locked="0"/>
    </xf>
    <xf numFmtId="0" fontId="12" fillId="0" borderId="17" xfId="0" applyFont="1" applyBorder="1" applyAlignment="1" applyProtection="1">
      <alignment horizontal="center" vertical="center"/>
      <protection hidden="1"/>
    </xf>
    <xf numFmtId="0" fontId="12" fillId="0" borderId="28" xfId="0" applyFont="1" applyBorder="1" applyAlignment="1" applyProtection="1">
      <alignment horizontal="center" vertical="center"/>
      <protection hidden="1"/>
    </xf>
    <xf numFmtId="0" fontId="12" fillId="0" borderId="9" xfId="0" applyFont="1" applyBorder="1" applyAlignment="1" applyProtection="1">
      <alignment horizontal="center" vertical="center"/>
      <protection hidden="1"/>
    </xf>
    <xf numFmtId="0" fontId="14" fillId="32" borderId="14" xfId="0" applyFont="1" applyFill="1" applyBorder="1" applyAlignment="1" applyProtection="1">
      <alignment horizontal="center" vertical="center"/>
      <protection hidden="1"/>
    </xf>
    <xf numFmtId="0" fontId="12" fillId="21" borderId="14" xfId="0" applyFont="1" applyFill="1" applyBorder="1" applyAlignment="1" applyProtection="1">
      <alignment horizontal="center" vertical="center"/>
      <protection hidden="1"/>
    </xf>
    <xf numFmtId="0" fontId="14" fillId="0" borderId="13" xfId="0" applyFont="1" applyBorder="1" applyAlignment="1" applyProtection="1">
      <protection locked="0"/>
    </xf>
    <xf numFmtId="0" fontId="12" fillId="0" borderId="8" xfId="0" applyFont="1" applyBorder="1" applyAlignment="1" applyProtection="1">
      <alignment horizontal="center" vertical="center"/>
      <protection locked="0"/>
    </xf>
    <xf numFmtId="0" fontId="8" fillId="23" borderId="14" xfId="0" applyFont="1" applyFill="1" applyBorder="1" applyAlignment="1" applyProtection="1">
      <alignment horizontal="center" vertical="center"/>
      <protection locked="0"/>
    </xf>
    <xf numFmtId="0" fontId="12" fillId="22" borderId="27" xfId="0" applyFont="1" applyFill="1" applyBorder="1" applyAlignment="1" applyProtection="1">
      <alignment wrapText="1"/>
      <protection locked="0"/>
    </xf>
    <xf numFmtId="0" fontId="14" fillId="19" borderId="27" xfId="0" applyFont="1" applyFill="1" applyBorder="1" applyAlignment="1" applyProtection="1">
      <alignment wrapText="1"/>
      <protection locked="0"/>
    </xf>
    <xf numFmtId="0" fontId="14" fillId="0" borderId="6" xfId="0" applyFont="1" applyFill="1" applyBorder="1" applyAlignment="1" applyProtection="1">
      <alignment horizontal="center" vertical="center"/>
      <protection locked="0"/>
    </xf>
    <xf numFmtId="0" fontId="14" fillId="19" borderId="17" xfId="0" applyFont="1" applyFill="1" applyBorder="1" applyProtection="1">
      <protection locked="0"/>
    </xf>
    <xf numFmtId="0" fontId="14" fillId="19" borderId="14" xfId="0" applyFont="1" applyFill="1" applyBorder="1" applyProtection="1">
      <protection locked="0"/>
    </xf>
    <xf numFmtId="0" fontId="14" fillId="0" borderId="0" xfId="0" applyFont="1" applyAlignment="1" applyProtection="1">
      <protection hidden="1"/>
    </xf>
    <xf numFmtId="0" fontId="12" fillId="12" borderId="14" xfId="0" applyFont="1" applyFill="1" applyBorder="1" applyAlignment="1" applyProtection="1">
      <alignment horizontal="center" vertical="center"/>
      <protection hidden="1"/>
    </xf>
    <xf numFmtId="0" fontId="14" fillId="0" borderId="14" xfId="0" applyFont="1" applyBorder="1" applyAlignment="1" applyProtection="1">
      <protection hidden="1"/>
    </xf>
    <xf numFmtId="0" fontId="14" fillId="0" borderId="14"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2" fontId="14" fillId="0" borderId="14" xfId="0" applyNumberFormat="1" applyFont="1" applyBorder="1" applyAlignment="1" applyProtection="1">
      <alignment horizontal="center" vertical="center"/>
      <protection hidden="1"/>
    </xf>
    <xf numFmtId="2" fontId="8" fillId="23" borderId="14" xfId="0" applyNumberFormat="1" applyFont="1" applyFill="1" applyBorder="1" applyAlignment="1" applyProtection="1">
      <alignment horizontal="center" vertical="center"/>
      <protection hidden="1"/>
    </xf>
    <xf numFmtId="0" fontId="12" fillId="0" borderId="27" xfId="0" applyFont="1" applyFill="1" applyBorder="1" applyAlignment="1" applyProtection="1">
      <protection hidden="1"/>
    </xf>
    <xf numFmtId="0" fontId="8" fillId="0" borderId="46" xfId="0" applyFont="1" applyBorder="1" applyAlignment="1" applyProtection="1">
      <alignment horizontal="center" vertical="center"/>
      <protection locked="0"/>
    </xf>
    <xf numFmtId="0" fontId="7" fillId="0" borderId="0" xfId="0" applyFont="1" applyProtection="1">
      <protection locked="0"/>
    </xf>
    <xf numFmtId="0" fontId="7" fillId="0" borderId="46"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23" borderId="6" xfId="0" applyFont="1" applyFill="1" applyBorder="1" applyAlignment="1" applyProtection="1">
      <alignment horizontal="center" vertical="center"/>
      <protection locked="0"/>
    </xf>
    <xf numFmtId="0" fontId="10" fillId="0" borderId="13" xfId="0" applyFont="1" applyFill="1" applyBorder="1" applyAlignment="1" applyProtection="1">
      <protection locked="0"/>
    </xf>
    <xf numFmtId="0" fontId="8" fillId="0" borderId="13" xfId="0" applyFont="1" applyFill="1" applyBorder="1" applyAlignment="1" applyProtection="1">
      <alignment horizontal="center"/>
      <protection locked="0"/>
    </xf>
    <xf numFmtId="0" fontId="10" fillId="0" borderId="13" xfId="0" applyFont="1" applyBorder="1" applyProtection="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wrapText="1"/>
      <protection locked="0"/>
    </xf>
    <xf numFmtId="0" fontId="8" fillId="19" borderId="1" xfId="0" applyFont="1" applyFill="1" applyBorder="1" applyAlignment="1" applyProtection="1">
      <alignment horizontal="center" vertical="center"/>
      <protection hidden="1"/>
    </xf>
    <xf numFmtId="2" fontId="8" fillId="23" borderId="4" xfId="0" applyNumberFormat="1" applyFont="1" applyFill="1" applyBorder="1" applyAlignment="1" applyProtection="1">
      <alignment horizontal="center" vertical="center"/>
      <protection hidden="1"/>
    </xf>
    <xf numFmtId="0" fontId="8" fillId="0" borderId="12" xfId="0" applyFont="1" applyBorder="1" applyAlignment="1" applyProtection="1">
      <alignment horizontal="center" vertical="center"/>
      <protection hidden="1"/>
    </xf>
    <xf numFmtId="2" fontId="11" fillId="0" borderId="6" xfId="0" applyNumberFormat="1" applyFont="1" applyBorder="1" applyAlignment="1" applyProtection="1">
      <alignment horizontal="center" vertical="top" wrapText="1"/>
      <protection hidden="1"/>
    </xf>
    <xf numFmtId="0" fontId="8" fillId="0" borderId="13" xfId="0" applyFont="1" applyFill="1" applyBorder="1" applyAlignment="1" applyProtection="1">
      <alignment horizontal="center" vertical="center"/>
      <protection hidden="1"/>
    </xf>
    <xf numFmtId="2" fontId="11" fillId="0" borderId="13" xfId="0" applyNumberFormat="1" applyFont="1" applyBorder="1" applyAlignment="1" applyProtection="1">
      <alignment horizontal="center" vertical="top" wrapText="1"/>
      <protection hidden="1"/>
    </xf>
    <xf numFmtId="0" fontId="8" fillId="0" borderId="0" xfId="0" applyFont="1" applyAlignment="1" applyProtection="1">
      <alignment horizontal="center" vertical="center"/>
      <protection hidden="1"/>
    </xf>
    <xf numFmtId="0" fontId="8" fillId="0" borderId="0" xfId="0" applyFont="1" applyAlignment="1" applyProtection="1">
      <alignment horizontal="center" wrapText="1"/>
      <protection hidden="1"/>
    </xf>
    <xf numFmtId="0" fontId="7" fillId="0" borderId="35" xfId="0" applyFont="1" applyBorder="1" applyAlignment="1" applyProtection="1">
      <protection hidden="1"/>
    </xf>
    <xf numFmtId="0" fontId="7" fillId="0" borderId="36" xfId="0" applyFont="1" applyBorder="1" applyAlignment="1" applyProtection="1">
      <protection hidden="1"/>
    </xf>
    <xf numFmtId="0" fontId="7" fillId="0" borderId="0" xfId="0" applyFont="1" applyAlignment="1" applyProtection="1">
      <protection hidden="1"/>
    </xf>
    <xf numFmtId="0" fontId="14" fillId="0" borderId="37" xfId="0" applyFont="1" applyBorder="1" applyAlignment="1" applyProtection="1">
      <protection hidden="1"/>
    </xf>
    <xf numFmtId="0" fontId="14" fillId="0" borderId="13" xfId="0" applyFont="1" applyBorder="1" applyAlignment="1" applyProtection="1">
      <protection hidden="1"/>
    </xf>
    <xf numFmtId="0" fontId="12" fillId="23" borderId="17" xfId="0" applyFont="1" applyFill="1" applyBorder="1" applyAlignment="1" applyProtection="1">
      <alignment horizontal="center" vertical="center"/>
      <protection hidden="1"/>
    </xf>
    <xf numFmtId="0" fontId="7" fillId="0" borderId="13" xfId="0" applyFont="1" applyBorder="1" applyAlignment="1" applyProtection="1">
      <protection hidden="1"/>
    </xf>
    <xf numFmtId="0" fontId="7" fillId="0" borderId="38" xfId="0" applyFont="1" applyBorder="1" applyAlignment="1" applyProtection="1">
      <protection hidden="1"/>
    </xf>
    <xf numFmtId="164" fontId="21" fillId="20" borderId="14" xfId="0" applyNumberFormat="1" applyFont="1" applyFill="1" applyBorder="1" applyAlignment="1" applyProtection="1">
      <alignment horizontal="center" vertical="center"/>
      <protection hidden="1"/>
    </xf>
    <xf numFmtId="0" fontId="22" fillId="0" borderId="13" xfId="0" applyFont="1" applyBorder="1" applyAlignment="1" applyProtection="1">
      <protection hidden="1"/>
    </xf>
    <xf numFmtId="0" fontId="21" fillId="0" borderId="13" xfId="0" applyFont="1" applyBorder="1" applyAlignment="1" applyProtection="1">
      <protection hidden="1"/>
    </xf>
    <xf numFmtId="0" fontId="21" fillId="0" borderId="38" xfId="0" applyFont="1" applyBorder="1" applyAlignment="1" applyProtection="1">
      <protection hidden="1"/>
    </xf>
    <xf numFmtId="0" fontId="21" fillId="0" borderId="0" xfId="0" applyFont="1" applyAlignment="1" applyProtection="1">
      <protection hidden="1"/>
    </xf>
    <xf numFmtId="164" fontId="21" fillId="0" borderId="14" xfId="0" applyNumberFormat="1" applyFont="1" applyBorder="1" applyAlignment="1" applyProtection="1">
      <alignment horizontal="center" vertical="center"/>
      <protection hidden="1"/>
    </xf>
    <xf numFmtId="0" fontId="14" fillId="0" borderId="37" xfId="0" applyFont="1" applyBorder="1" applyAlignment="1" applyProtection="1">
      <alignment horizontal="left" vertical="center"/>
      <protection hidden="1"/>
    </xf>
    <xf numFmtId="0" fontId="14" fillId="0" borderId="13" xfId="0" applyFont="1" applyBorder="1" applyAlignment="1" applyProtection="1">
      <alignment horizontal="left" vertical="center"/>
      <protection hidden="1"/>
    </xf>
    <xf numFmtId="164" fontId="21" fillId="0" borderId="13" xfId="0" applyNumberFormat="1" applyFont="1" applyBorder="1" applyAlignment="1" applyProtection="1">
      <alignment horizontal="center" vertical="center"/>
      <protection hidden="1"/>
    </xf>
    <xf numFmtId="164" fontId="19" fillId="21" borderId="14" xfId="0" applyNumberFormat="1" applyFont="1" applyFill="1" applyBorder="1" applyAlignment="1" applyProtection="1">
      <alignment horizontal="center" vertical="center"/>
      <protection hidden="1"/>
    </xf>
    <xf numFmtId="0" fontId="14" fillId="0" borderId="37" xfId="0" applyFont="1" applyFill="1" applyBorder="1" applyAlignment="1" applyProtection="1">
      <alignment horizontal="left" vertical="center"/>
      <protection hidden="1"/>
    </xf>
    <xf numFmtId="0" fontId="14" fillId="0" borderId="13" xfId="0" applyFont="1" applyBorder="1" applyAlignment="1" applyProtection="1">
      <alignment horizontal="center" vertical="center"/>
      <protection hidden="1"/>
    </xf>
    <xf numFmtId="164" fontId="21" fillId="0" borderId="13" xfId="0" applyNumberFormat="1" applyFont="1" applyBorder="1" applyAlignment="1" applyProtection="1">
      <protection hidden="1"/>
    </xf>
    <xf numFmtId="0" fontId="7" fillId="0" borderId="43" xfId="0" applyFont="1" applyBorder="1" applyAlignment="1" applyProtection="1">
      <protection hidden="1"/>
    </xf>
    <xf numFmtId="0" fontId="7" fillId="0" borderId="44" xfId="0" applyFont="1" applyBorder="1" applyAlignment="1" applyProtection="1">
      <protection hidden="1"/>
    </xf>
    <xf numFmtId="0" fontId="0" fillId="0" borderId="0" xfId="0"/>
    <xf numFmtId="0" fontId="25" fillId="0" borderId="14" xfId="0" applyFont="1" applyBorder="1" applyAlignment="1">
      <alignment horizontal="center" vertical="center" wrapText="1"/>
    </xf>
    <xf numFmtId="0" fontId="0" fillId="0" borderId="14"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14" xfId="0" applyFont="1" applyBorder="1" applyAlignment="1">
      <alignment horizontal="center" vertical="center" wrapText="1"/>
    </xf>
    <xf numFmtId="1" fontId="27" fillId="36" borderId="14" xfId="0" applyNumberFormat="1" applyFont="1" applyFill="1" applyBorder="1" applyAlignment="1">
      <alignment horizontal="center"/>
    </xf>
    <xf numFmtId="0" fontId="26" fillId="37" borderId="23" xfId="0" applyFont="1" applyFill="1" applyBorder="1" applyAlignment="1">
      <alignment horizontal="center" vertical="center" wrapText="1"/>
    </xf>
    <xf numFmtId="0" fontId="26" fillId="37" borderId="14" xfId="0" applyFont="1" applyFill="1" applyBorder="1" applyAlignment="1">
      <alignment horizontal="center" vertical="center" wrapText="1"/>
    </xf>
    <xf numFmtId="0" fontId="0" fillId="0" borderId="14" xfId="0" applyBorder="1" applyAlignment="1">
      <alignment horizontal="center" vertical="center"/>
    </xf>
    <xf numFmtId="0" fontId="23" fillId="0" borderId="14" xfId="0" applyFont="1" applyBorder="1" applyAlignment="1">
      <alignment horizontal="center" vertical="center"/>
    </xf>
    <xf numFmtId="0" fontId="23" fillId="0" borderId="14" xfId="0" applyFont="1" applyBorder="1" applyAlignment="1">
      <alignment horizontal="center"/>
    </xf>
    <xf numFmtId="0" fontId="23" fillId="29" borderId="14" xfId="0" applyFont="1" applyFill="1" applyBorder="1" applyAlignment="1">
      <alignment horizontal="center" vertical="center"/>
    </xf>
    <xf numFmtId="0" fontId="25" fillId="0" borderId="17"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23" xfId="0" applyFont="1" applyBorder="1" applyAlignment="1">
      <alignment horizontal="center" vertical="center" wrapText="1"/>
    </xf>
    <xf numFmtId="0" fontId="31" fillId="5" borderId="58" xfId="0" applyFont="1" applyFill="1" applyBorder="1" applyAlignment="1" applyProtection="1">
      <alignment horizontal="center" vertical="center"/>
      <protection locked="0"/>
    </xf>
    <xf numFmtId="0" fontId="33" fillId="0" borderId="6" xfId="0" applyFont="1" applyBorder="1" applyAlignment="1" applyProtection="1">
      <alignment horizontal="center" vertical="center" wrapText="1"/>
      <protection locked="0"/>
    </xf>
    <xf numFmtId="0" fontId="34" fillId="0" borderId="6" xfId="0" applyFont="1" applyBorder="1" applyAlignment="1" applyProtection="1">
      <alignment horizontal="center" vertical="center" wrapText="1"/>
      <protection locked="0"/>
    </xf>
    <xf numFmtId="0" fontId="34" fillId="38" borderId="6" xfId="0" applyFont="1" applyFill="1" applyBorder="1" applyAlignment="1">
      <alignment horizontal="center" vertical="center" wrapText="1"/>
    </xf>
    <xf numFmtId="0" fontId="35" fillId="36" borderId="6" xfId="0" applyFont="1" applyFill="1" applyBorder="1" applyAlignment="1">
      <alignment horizontal="center" vertical="center" wrapText="1"/>
    </xf>
    <xf numFmtId="0" fontId="35" fillId="36" borderId="2" xfId="0" applyFont="1" applyFill="1" applyBorder="1" applyAlignment="1">
      <alignment horizontal="center" vertical="center" wrapText="1"/>
    </xf>
    <xf numFmtId="0" fontId="35" fillId="39" borderId="6" xfId="0" applyFont="1" applyFill="1" applyBorder="1" applyAlignment="1">
      <alignment horizontal="center" vertical="center" wrapText="1"/>
    </xf>
    <xf numFmtId="0" fontId="35" fillId="40" borderId="6" xfId="0" applyFont="1" applyFill="1" applyBorder="1" applyAlignment="1">
      <alignment horizontal="center" vertical="center" wrapText="1"/>
    </xf>
    <xf numFmtId="0" fontId="35" fillId="41" borderId="6" xfId="0" applyFont="1" applyFill="1" applyBorder="1" applyAlignment="1">
      <alignment horizontal="center" vertical="center" wrapText="1"/>
    </xf>
    <xf numFmtId="0" fontId="35" fillId="38" borderId="6" xfId="0" applyFont="1" applyFill="1" applyBorder="1" applyAlignment="1">
      <alignment horizontal="center" vertical="center" wrapText="1"/>
    </xf>
    <xf numFmtId="0" fontId="32" fillId="36" borderId="6" xfId="0" applyFont="1" applyFill="1" applyBorder="1" applyAlignment="1">
      <alignment horizontal="center" vertical="center" wrapText="1"/>
    </xf>
    <xf numFmtId="0" fontId="32" fillId="36" borderId="2" xfId="0" applyFont="1" applyFill="1" applyBorder="1" applyAlignment="1">
      <alignment horizontal="center" vertical="center" wrapText="1"/>
    </xf>
    <xf numFmtId="0" fontId="32" fillId="39" borderId="6" xfId="0" applyFont="1" applyFill="1" applyBorder="1" applyAlignment="1">
      <alignment horizontal="center" vertical="center" wrapText="1"/>
    </xf>
    <xf numFmtId="0" fontId="32" fillId="40" borderId="6" xfId="0" applyFont="1" applyFill="1" applyBorder="1" applyAlignment="1">
      <alignment horizontal="center" vertical="center" wrapText="1"/>
    </xf>
    <xf numFmtId="0" fontId="32" fillId="41" borderId="6" xfId="0" applyFont="1" applyFill="1" applyBorder="1" applyAlignment="1">
      <alignment horizontal="center" vertical="center" wrapText="1"/>
    </xf>
    <xf numFmtId="0" fontId="36" fillId="0" borderId="6" xfId="0" applyFont="1" applyBorder="1" applyAlignment="1">
      <alignment horizontal="left" vertical="top"/>
    </xf>
    <xf numFmtId="0" fontId="37" fillId="0" borderId="14" xfId="0" applyFont="1" applyBorder="1" applyAlignment="1">
      <alignment horizontal="center" vertical="center"/>
    </xf>
    <xf numFmtId="0" fontId="26" fillId="0" borderId="14" xfId="0" applyFont="1" applyFill="1" applyBorder="1" applyAlignment="1">
      <alignment horizontal="center" vertical="center" wrapText="1"/>
    </xf>
    <xf numFmtId="0" fontId="19" fillId="38" borderId="6" xfId="0" applyFont="1" applyFill="1" applyBorder="1" applyProtection="1">
      <protection locked="0"/>
    </xf>
    <xf numFmtId="0" fontId="0" fillId="0" borderId="14" xfId="0" applyBorder="1" applyAlignment="1" applyProtection="1">
      <alignment horizontal="center" vertical="center"/>
      <protection locked="0"/>
    </xf>
    <xf numFmtId="0" fontId="26" fillId="0" borderId="18" xfId="0" applyFont="1" applyBorder="1" applyAlignment="1" applyProtection="1">
      <alignment horizontal="center" vertical="center" wrapText="1"/>
      <protection locked="0"/>
    </xf>
    <xf numFmtId="0" fontId="36" fillId="0" borderId="6" xfId="0" applyFont="1" applyBorder="1" applyAlignment="1" applyProtection="1">
      <alignment horizontal="left" vertical="top"/>
      <protection locked="0"/>
    </xf>
    <xf numFmtId="0" fontId="7" fillId="0" borderId="13" xfId="0" applyFont="1" applyBorder="1" applyAlignment="1" applyProtection="1">
      <alignment horizontal="center"/>
      <protection locked="0"/>
    </xf>
    <xf numFmtId="0" fontId="29" fillId="5" borderId="55" xfId="0" applyFont="1" applyFill="1" applyBorder="1" applyAlignment="1" applyProtection="1">
      <alignment horizontal="left"/>
      <protection locked="0"/>
    </xf>
    <xf numFmtId="0" fontId="30" fillId="0" borderId="56" xfId="0" applyFont="1" applyBorder="1" applyProtection="1">
      <protection locked="0"/>
    </xf>
    <xf numFmtId="0" fontId="30" fillId="0" borderId="57" xfId="0" applyFont="1" applyBorder="1" applyProtection="1">
      <protection locked="0"/>
    </xf>
    <xf numFmtId="0" fontId="7" fillId="21" borderId="52" xfId="0" applyFont="1" applyFill="1" applyBorder="1" applyAlignment="1" applyProtection="1">
      <alignment horizontal="center" vertical="center"/>
      <protection locked="0"/>
    </xf>
    <xf numFmtId="0" fontId="7" fillId="21" borderId="53" xfId="0" applyFont="1" applyFill="1" applyBorder="1" applyAlignment="1" applyProtection="1">
      <alignment horizontal="center" vertical="center"/>
      <protection locked="0"/>
    </xf>
    <xf numFmtId="0" fontId="7" fillId="21" borderId="54" xfId="0" applyFont="1" applyFill="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12" fillId="0" borderId="1" xfId="0" applyFont="1" applyBorder="1" applyAlignment="1" applyProtection="1">
      <alignment vertical="center"/>
      <protection locked="0"/>
    </xf>
    <xf numFmtId="0" fontId="13" fillId="0" borderId="3" xfId="0" applyFont="1" applyBorder="1" applyAlignment="1" applyProtection="1">
      <alignment vertical="center"/>
      <protection locked="0"/>
    </xf>
    <xf numFmtId="0" fontId="7" fillId="30" borderId="14" xfId="0" applyFont="1" applyFill="1" applyBorder="1" applyAlignment="1" applyProtection="1">
      <alignment horizontal="center"/>
      <protection hidden="1"/>
    </xf>
    <xf numFmtId="0" fontId="9" fillId="12" borderId="14" xfId="0" applyFont="1" applyFill="1" applyBorder="1" applyProtection="1">
      <protection hidden="1"/>
    </xf>
    <xf numFmtId="0" fontId="7" fillId="30" borderId="14" xfId="0" applyFont="1" applyFill="1" applyBorder="1" applyAlignment="1" applyProtection="1">
      <alignment horizontal="center"/>
      <protection locked="0"/>
    </xf>
    <xf numFmtId="164" fontId="10" fillId="31" borderId="14" xfId="0" applyNumberFormat="1" applyFont="1" applyFill="1" applyBorder="1" applyAlignment="1" applyProtection="1">
      <alignment horizontal="center"/>
      <protection hidden="1"/>
    </xf>
    <xf numFmtId="0" fontId="10" fillId="31" borderId="14" xfId="0" applyFont="1" applyFill="1" applyBorder="1" applyAlignment="1" applyProtection="1">
      <alignment horizontal="center"/>
      <protection hidden="1"/>
    </xf>
    <xf numFmtId="0" fontId="8" fillId="0" borderId="7" xfId="0" applyFont="1" applyBorder="1" applyAlignment="1" applyProtection="1">
      <alignment horizontal="center" vertical="center"/>
      <protection hidden="1"/>
    </xf>
    <xf numFmtId="0" fontId="8" fillId="0" borderId="28" xfId="0" applyFont="1" applyBorder="1" applyAlignment="1" applyProtection="1">
      <alignment horizontal="center" vertical="center"/>
      <protection hidden="1"/>
    </xf>
    <xf numFmtId="0" fontId="8" fillId="27" borderId="8" xfId="0" applyFont="1" applyFill="1" applyBorder="1" applyAlignment="1" applyProtection="1">
      <alignment horizontal="center" vertical="center"/>
      <protection hidden="1"/>
    </xf>
    <xf numFmtId="0" fontId="8" fillId="27" borderId="2" xfId="0" applyFont="1" applyFill="1" applyBorder="1" applyAlignment="1" applyProtection="1">
      <alignment horizontal="center" vertical="center"/>
      <protection hidden="1"/>
    </xf>
    <xf numFmtId="0" fontId="22" fillId="0" borderId="13"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protection locked="0"/>
    </xf>
    <xf numFmtId="0" fontId="7" fillId="21" borderId="33" xfId="0" applyFont="1" applyFill="1" applyBorder="1" applyAlignment="1" applyProtection="1">
      <alignment horizontal="center"/>
      <protection hidden="1"/>
    </xf>
    <xf numFmtId="0" fontId="7" fillId="21" borderId="34" xfId="0" applyFont="1" applyFill="1" applyBorder="1" applyAlignment="1" applyProtection="1">
      <alignment horizontal="center"/>
      <protection hidden="1"/>
    </xf>
    <xf numFmtId="164" fontId="20" fillId="12" borderId="42" xfId="0" applyNumberFormat="1" applyFont="1" applyFill="1" applyBorder="1" applyAlignment="1" applyProtection="1">
      <alignment horizontal="center" vertical="center"/>
      <protection hidden="1"/>
    </xf>
    <xf numFmtId="0" fontId="14" fillId="11" borderId="37" xfId="0" applyFont="1" applyFill="1" applyBorder="1" applyAlignment="1" applyProtection="1">
      <alignment horizontal="center" vertical="center" wrapText="1"/>
      <protection hidden="1"/>
    </xf>
    <xf numFmtId="0" fontId="14" fillId="11" borderId="13" xfId="0" applyFont="1" applyFill="1" applyBorder="1" applyAlignment="1" applyProtection="1">
      <alignment horizontal="center" vertical="center" wrapText="1"/>
      <protection hidden="1"/>
    </xf>
    <xf numFmtId="0" fontId="14" fillId="11" borderId="32" xfId="0" applyFont="1" applyFill="1" applyBorder="1" applyAlignment="1" applyProtection="1">
      <alignment horizontal="center" vertical="center" wrapText="1"/>
      <protection hidden="1"/>
    </xf>
    <xf numFmtId="0" fontId="7" fillId="23" borderId="41" xfId="0" applyFont="1" applyFill="1" applyBorder="1" applyAlignment="1" applyProtection="1">
      <alignment horizontal="center" vertical="center" wrapText="1"/>
      <protection hidden="1"/>
    </xf>
    <xf numFmtId="0" fontId="7" fillId="23" borderId="43" xfId="0" applyFont="1" applyFill="1" applyBorder="1" applyAlignment="1" applyProtection="1">
      <alignment horizontal="center" vertical="center" wrapText="1"/>
      <protection hidden="1"/>
    </xf>
    <xf numFmtId="0" fontId="7" fillId="23" borderId="45" xfId="0" applyFont="1" applyFill="1" applyBorder="1" applyAlignment="1" applyProtection="1">
      <alignment horizontal="center" vertical="center" wrapText="1"/>
      <protection hidden="1"/>
    </xf>
    <xf numFmtId="0" fontId="19" fillId="18" borderId="15" xfId="0" applyFont="1" applyFill="1" applyBorder="1" applyAlignment="1" applyProtection="1">
      <alignment horizontal="center" vertical="center" wrapText="1"/>
      <protection hidden="1"/>
    </xf>
    <xf numFmtId="0" fontId="19" fillId="18" borderId="17" xfId="0" applyFont="1" applyFill="1" applyBorder="1" applyAlignment="1" applyProtection="1">
      <alignment horizontal="center" vertical="center" wrapText="1"/>
      <protection hidden="1"/>
    </xf>
    <xf numFmtId="0" fontId="19" fillId="0" borderId="39" xfId="0" applyFont="1" applyBorder="1" applyAlignment="1" applyProtection="1">
      <alignment horizontal="center" vertical="center" wrapText="1"/>
      <protection hidden="1"/>
    </xf>
    <xf numFmtId="0" fontId="19" fillId="0" borderId="30" xfId="0" applyFont="1" applyBorder="1" applyAlignment="1" applyProtection="1">
      <alignment horizontal="center" vertical="center" wrapText="1"/>
      <protection hidden="1"/>
    </xf>
    <xf numFmtId="0" fontId="14" fillId="0" borderId="40" xfId="0" applyFont="1" applyBorder="1" applyAlignment="1" applyProtection="1">
      <alignment horizontal="center" vertical="center"/>
      <protection hidden="1"/>
    </xf>
    <xf numFmtId="0" fontId="14" fillId="0" borderId="31" xfId="0" applyFont="1" applyBorder="1" applyAlignment="1" applyProtection="1">
      <alignment horizontal="center" vertical="center"/>
      <protection hidden="1"/>
    </xf>
    <xf numFmtId="0" fontId="8" fillId="0" borderId="46" xfId="0" applyFont="1" applyBorder="1" applyAlignment="1" applyProtection="1">
      <alignment horizontal="center" vertical="center"/>
      <protection locked="0"/>
    </xf>
    <xf numFmtId="0" fontId="8" fillId="30" borderId="46" xfId="0" applyFont="1" applyFill="1" applyBorder="1" applyAlignment="1" applyProtection="1">
      <alignment horizontal="center"/>
      <protection locked="0"/>
    </xf>
    <xf numFmtId="0" fontId="12" fillId="0" borderId="8" xfId="0" applyFont="1" applyBorder="1" applyAlignment="1" applyProtection="1">
      <alignment vertical="center"/>
      <protection locked="0"/>
    </xf>
    <xf numFmtId="0" fontId="12" fillId="0" borderId="3" xfId="0" applyFont="1" applyBorder="1" applyAlignment="1" applyProtection="1">
      <alignment vertical="center"/>
      <protection locked="0"/>
    </xf>
    <xf numFmtId="0" fontId="32" fillId="5" borderId="55" xfId="0" applyFont="1" applyFill="1" applyBorder="1" applyAlignment="1" applyProtection="1">
      <alignment horizontal="left" vertical="center" wrapText="1"/>
      <protection locked="0"/>
    </xf>
    <xf numFmtId="0" fontId="35" fillId="40" borderId="8" xfId="0" applyFont="1" applyFill="1" applyBorder="1" applyAlignment="1">
      <alignment horizontal="center" vertical="center" wrapText="1"/>
    </xf>
    <xf numFmtId="0" fontId="30" fillId="0" borderId="3" xfId="0" applyFont="1" applyBorder="1"/>
    <xf numFmtId="0" fontId="30" fillId="0" borderId="2" xfId="0" applyFont="1" applyBorder="1"/>
    <xf numFmtId="0" fontId="35" fillId="41" borderId="8" xfId="0" applyFont="1" applyFill="1" applyBorder="1" applyAlignment="1">
      <alignment horizontal="center" vertical="center" wrapText="1"/>
    </xf>
    <xf numFmtId="0" fontId="35" fillId="39" borderId="8" xfId="0" applyFont="1" applyFill="1" applyBorder="1" applyAlignment="1">
      <alignment horizontal="center" vertical="center" wrapText="1"/>
    </xf>
    <xf numFmtId="0" fontId="2" fillId="10" borderId="15" xfId="0" applyFont="1" applyFill="1" applyBorder="1" applyAlignment="1">
      <alignment horizontal="left" vertical="center" wrapText="1"/>
    </xf>
    <xf numFmtId="0" fontId="2" fillId="10" borderId="16" xfId="0" applyFont="1" applyFill="1" applyBorder="1" applyAlignment="1">
      <alignment horizontal="left" vertical="center" wrapText="1"/>
    </xf>
    <xf numFmtId="0" fontId="2" fillId="10" borderId="17" xfId="0" applyFont="1" applyFill="1" applyBorder="1" applyAlignment="1">
      <alignment horizontal="left" vertical="center" wrapText="1"/>
    </xf>
    <xf numFmtId="0" fontId="2" fillId="6" borderId="19" xfId="0" applyFont="1" applyFill="1" applyBorder="1" applyAlignment="1">
      <alignment horizontal="left" vertical="center" wrapText="1"/>
    </xf>
    <xf numFmtId="0" fontId="2" fillId="6" borderId="21" xfId="0" applyFont="1" applyFill="1" applyBorder="1" applyAlignment="1">
      <alignment horizontal="left" vertical="center" wrapText="1"/>
    </xf>
    <xf numFmtId="0" fontId="2" fillId="6" borderId="20" xfId="0" applyFont="1" applyFill="1" applyBorder="1" applyAlignment="1">
      <alignment horizontal="left" vertical="center" wrapText="1"/>
    </xf>
    <xf numFmtId="0" fontId="2" fillId="4" borderId="19" xfId="0" applyFont="1" applyFill="1" applyBorder="1" applyAlignment="1">
      <alignment horizontal="left" vertical="center" wrapText="1"/>
    </xf>
    <xf numFmtId="0" fontId="2" fillId="4" borderId="21" xfId="0" applyFont="1" applyFill="1" applyBorder="1" applyAlignment="1">
      <alignment horizontal="left" vertical="center" wrapText="1"/>
    </xf>
    <xf numFmtId="0" fontId="2" fillId="4" borderId="20" xfId="0" applyFont="1"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9" borderId="19" xfId="0" applyFont="1" applyFill="1" applyBorder="1" applyAlignment="1">
      <alignment horizontal="left" vertical="center" wrapText="1"/>
    </xf>
    <xf numFmtId="0" fontId="2" fillId="9" borderId="20"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2" fillId="8" borderId="19" xfId="0" applyFont="1" applyFill="1" applyBorder="1" applyAlignment="1">
      <alignment horizontal="left" vertical="center" wrapText="1"/>
    </xf>
    <xf numFmtId="0" fontId="2" fillId="8" borderId="20" xfId="0" applyFont="1" applyFill="1" applyBorder="1" applyAlignment="1">
      <alignment horizontal="left" vertical="center" wrapText="1"/>
    </xf>
    <xf numFmtId="0" fontId="2" fillId="10" borderId="19" xfId="0" applyFont="1" applyFill="1" applyBorder="1" applyAlignment="1">
      <alignment horizontal="left" vertical="center" wrapText="1"/>
    </xf>
    <xf numFmtId="0" fontId="2" fillId="10" borderId="21" xfId="0" applyFont="1" applyFill="1" applyBorder="1" applyAlignment="1">
      <alignment horizontal="left" vertical="center" wrapText="1"/>
    </xf>
    <xf numFmtId="0" fontId="2" fillId="10" borderId="20" xfId="0" applyFont="1" applyFill="1" applyBorder="1" applyAlignment="1">
      <alignment horizontal="left" vertical="center" wrapText="1"/>
    </xf>
    <xf numFmtId="0" fontId="2" fillId="5" borderId="19" xfId="0" applyFont="1" applyFill="1" applyBorder="1" applyAlignment="1">
      <alignment horizontal="left" vertical="center" wrapText="1"/>
    </xf>
    <xf numFmtId="0" fontId="2" fillId="5" borderId="21" xfId="0" applyFont="1" applyFill="1" applyBorder="1" applyAlignment="1">
      <alignment horizontal="left" vertical="center" wrapText="1"/>
    </xf>
    <xf numFmtId="0" fontId="2" fillId="5" borderId="20" xfId="0" applyFont="1" applyFill="1" applyBorder="1" applyAlignment="1">
      <alignment horizontal="left" vertical="center" wrapText="1"/>
    </xf>
    <xf numFmtId="0" fontId="7" fillId="0" borderId="13" xfId="0" applyFont="1" applyBorder="1" applyAlignment="1">
      <alignment horizontal="center"/>
    </xf>
    <xf numFmtId="0" fontId="7" fillId="0" borderId="13" xfId="0" applyFont="1" applyBorder="1" applyAlignment="1">
      <alignment horizontal="center" vertical="center"/>
    </xf>
    <xf numFmtId="0" fontId="14" fillId="2" borderId="19" xfId="0" applyFont="1" applyFill="1" applyBorder="1" applyAlignment="1">
      <alignment horizontal="left" vertical="center" wrapText="1"/>
    </xf>
    <xf numFmtId="0" fontId="14" fillId="2" borderId="21" xfId="0" applyFont="1" applyFill="1" applyBorder="1" applyAlignment="1">
      <alignment horizontal="left" vertical="center" wrapText="1"/>
    </xf>
    <xf numFmtId="0" fontId="14" fillId="2" borderId="20" xfId="0" applyFont="1" applyFill="1" applyBorder="1" applyAlignment="1">
      <alignment horizontal="left" vertical="center" wrapText="1"/>
    </xf>
    <xf numFmtId="0" fontId="12" fillId="30" borderId="14" xfId="0" applyFont="1" applyFill="1" applyBorder="1" applyAlignment="1">
      <alignment horizontal="center" vertical="center" wrapText="1"/>
    </xf>
    <xf numFmtId="0" fontId="16" fillId="12" borderId="14" xfId="0" applyFont="1" applyFill="1" applyBorder="1" applyAlignment="1">
      <alignment horizontal="center"/>
    </xf>
    <xf numFmtId="0" fontId="17" fillId="23" borderId="18" xfId="0" applyFont="1" applyFill="1" applyBorder="1" applyAlignment="1">
      <alignment horizontal="center" vertical="center"/>
    </xf>
    <xf numFmtId="0" fontId="17" fillId="23" borderId="22" xfId="0" applyFont="1" applyFill="1" applyBorder="1" applyAlignment="1">
      <alignment horizontal="center" vertical="center"/>
    </xf>
    <xf numFmtId="0" fontId="17" fillId="23" borderId="23" xfId="0" applyFont="1" applyFill="1" applyBorder="1" applyAlignment="1">
      <alignment horizontal="center" vertical="center"/>
    </xf>
    <xf numFmtId="0" fontId="12" fillId="33" borderId="14" xfId="0" applyFont="1" applyFill="1" applyBorder="1" applyAlignment="1">
      <alignment horizontal="center" vertical="center" wrapText="1"/>
    </xf>
    <xf numFmtId="0" fontId="13" fillId="21" borderId="14" xfId="0" applyFont="1" applyFill="1" applyBorder="1" applyAlignment="1">
      <alignment horizontal="center"/>
    </xf>
    <xf numFmtId="0" fontId="32" fillId="39" borderId="8" xfId="0" applyFont="1" applyFill="1" applyBorder="1" applyAlignment="1">
      <alignment horizontal="center" vertical="center" wrapText="1"/>
    </xf>
    <xf numFmtId="0" fontId="32" fillId="40" borderId="8" xfId="0" applyFont="1" applyFill="1" applyBorder="1" applyAlignment="1">
      <alignment horizontal="center" vertical="center" wrapText="1"/>
    </xf>
    <xf numFmtId="0" fontId="32" fillId="41" borderId="8" xfId="0" applyFont="1" applyFill="1" applyBorder="1" applyAlignment="1">
      <alignment horizontal="center" vertical="center" wrapText="1"/>
    </xf>
    <xf numFmtId="0" fontId="14" fillId="27" borderId="15" xfId="0" applyFont="1" applyFill="1" applyBorder="1" applyAlignment="1">
      <alignment horizontal="left" vertical="center" wrapText="1"/>
    </xf>
    <xf numFmtId="0" fontId="14" fillId="27" borderId="16" xfId="0" applyFont="1" applyFill="1" applyBorder="1" applyAlignment="1">
      <alignment horizontal="left" vertical="center" wrapText="1"/>
    </xf>
    <xf numFmtId="0" fontId="14" fillId="27" borderId="17" xfId="0" applyFont="1" applyFill="1" applyBorder="1" applyAlignment="1">
      <alignment horizontal="left" vertical="center" wrapText="1"/>
    </xf>
    <xf numFmtId="0" fontId="17" fillId="23" borderId="9" xfId="0" applyFont="1" applyFill="1" applyBorder="1" applyAlignment="1">
      <alignment horizontal="center" vertical="center" wrapText="1"/>
    </xf>
    <xf numFmtId="0" fontId="12" fillId="33" borderId="50" xfId="0" applyFont="1" applyFill="1" applyBorder="1" applyAlignment="1">
      <alignment horizontal="center" vertical="center" wrapText="1"/>
    </xf>
    <xf numFmtId="0" fontId="13" fillId="21" borderId="51" xfId="0" applyFont="1" applyFill="1" applyBorder="1" applyAlignment="1">
      <alignment horizontal="center"/>
    </xf>
    <xf numFmtId="0" fontId="13" fillId="21" borderId="22" xfId="0" applyFont="1" applyFill="1" applyBorder="1" applyAlignment="1">
      <alignment horizontal="center"/>
    </xf>
    <xf numFmtId="0" fontId="13" fillId="21" borderId="23" xfId="0" applyFont="1" applyFill="1" applyBorder="1" applyAlignment="1">
      <alignment horizontal="center"/>
    </xf>
    <xf numFmtId="0" fontId="14" fillId="27" borderId="19" xfId="0" applyFont="1" applyFill="1" applyBorder="1" applyAlignment="1">
      <alignment horizontal="left" vertical="center" wrapText="1"/>
    </xf>
    <xf numFmtId="0" fontId="14" fillId="27" borderId="21" xfId="0" applyFont="1" applyFill="1" applyBorder="1" applyAlignment="1">
      <alignment horizontal="left" vertical="center" wrapText="1"/>
    </xf>
    <xf numFmtId="0" fontId="12" fillId="20" borderId="13" xfId="0" applyFont="1" applyFill="1" applyBorder="1" applyAlignment="1" applyProtection="1">
      <alignment horizontal="center" vertical="center"/>
      <protection locked="0"/>
    </xf>
    <xf numFmtId="0" fontId="14" fillId="0" borderId="18" xfId="0" applyFont="1" applyBorder="1" applyAlignment="1" applyProtection="1">
      <alignment horizontal="center" vertical="center"/>
      <protection locked="0"/>
    </xf>
    <xf numFmtId="0" fontId="14" fillId="0" borderId="22" xfId="0" applyFont="1" applyBorder="1" applyAlignment="1" applyProtection="1">
      <alignment horizontal="center" vertical="center"/>
      <protection locked="0"/>
    </xf>
    <xf numFmtId="0" fontId="14" fillId="0" borderId="23" xfId="0" applyFont="1" applyBorder="1" applyAlignment="1" applyProtection="1">
      <alignment horizontal="center" vertical="center"/>
      <protection locked="0"/>
    </xf>
    <xf numFmtId="0" fontId="12" fillId="0" borderId="14" xfId="0" applyFont="1" applyBorder="1" applyAlignment="1" applyProtection="1">
      <alignment horizontal="center" vertical="center"/>
      <protection locked="0"/>
    </xf>
    <xf numFmtId="0" fontId="12" fillId="15" borderId="8" xfId="0" applyFont="1" applyFill="1" applyBorder="1" applyAlignment="1" applyProtection="1">
      <alignment horizontal="right" vertical="center"/>
      <protection locked="0"/>
    </xf>
    <xf numFmtId="0" fontId="12" fillId="15" borderId="3" xfId="0" applyFont="1" applyFill="1" applyBorder="1" applyAlignment="1" applyProtection="1">
      <alignment horizontal="right" vertical="center"/>
      <protection locked="0"/>
    </xf>
    <xf numFmtId="0" fontId="12" fillId="15" borderId="2" xfId="0" applyFont="1" applyFill="1" applyBorder="1" applyAlignment="1" applyProtection="1">
      <alignment horizontal="right" vertical="center"/>
      <protection locked="0"/>
    </xf>
    <xf numFmtId="0" fontId="14" fillId="29" borderId="8" xfId="0" applyFont="1" applyFill="1" applyBorder="1" applyAlignment="1" applyProtection="1">
      <alignment horizontal="right" vertical="center"/>
      <protection locked="0"/>
    </xf>
    <xf numFmtId="0" fontId="14" fillId="29" borderId="3" xfId="0" applyFont="1" applyFill="1" applyBorder="1" applyAlignment="1" applyProtection="1">
      <alignment horizontal="right" vertical="center"/>
      <protection locked="0"/>
    </xf>
    <xf numFmtId="0" fontId="14" fillId="29" borderId="2" xfId="0" applyFont="1" applyFill="1" applyBorder="1" applyAlignment="1" applyProtection="1">
      <alignment horizontal="right" vertical="center"/>
      <protection locked="0"/>
    </xf>
    <xf numFmtId="0" fontId="14" fillId="0" borderId="13" xfId="0" applyFont="1" applyBorder="1" applyAlignment="1" applyProtection="1">
      <alignment horizontal="left" vertical="center"/>
      <protection locked="0"/>
    </xf>
    <xf numFmtId="0" fontId="14" fillId="35" borderId="47" xfId="0" applyFont="1" applyFill="1" applyBorder="1" applyAlignment="1" applyProtection="1">
      <alignment horizontal="center" vertical="center"/>
      <protection hidden="1"/>
    </xf>
    <xf numFmtId="0" fontId="14" fillId="35" borderId="48" xfId="0" applyFont="1" applyFill="1" applyBorder="1" applyAlignment="1" applyProtection="1">
      <alignment horizontal="center" vertical="center"/>
      <protection hidden="1"/>
    </xf>
    <xf numFmtId="0" fontId="14" fillId="35" borderId="49" xfId="0" applyFont="1" applyFill="1" applyBorder="1" applyAlignment="1" applyProtection="1">
      <alignment horizontal="center" vertical="center"/>
      <protection hidden="1"/>
    </xf>
    <xf numFmtId="0" fontId="13" fillId="0" borderId="22" xfId="0" applyFont="1" applyBorder="1" applyProtection="1">
      <protection locked="0"/>
    </xf>
    <xf numFmtId="0" fontId="13" fillId="0" borderId="23" xfId="0" applyFont="1" applyBorder="1" applyProtection="1">
      <protection locked="0"/>
    </xf>
    <xf numFmtId="0" fontId="14" fillId="0" borderId="1" xfId="0" applyFont="1" applyBorder="1" applyAlignment="1" applyProtection="1">
      <alignment horizontal="center" vertical="center"/>
      <protection locked="0"/>
    </xf>
    <xf numFmtId="0" fontId="13" fillId="0" borderId="3" xfId="0" applyFont="1" applyBorder="1" applyProtection="1">
      <protection locked="0"/>
    </xf>
    <xf numFmtId="0" fontId="7" fillId="21" borderId="24" xfId="0" applyFont="1" applyFill="1" applyBorder="1" applyAlignment="1" applyProtection="1">
      <alignment horizontal="center" vertical="center"/>
      <protection locked="0"/>
    </xf>
    <xf numFmtId="0" fontId="7" fillId="21" borderId="29" xfId="0" applyFont="1" applyFill="1" applyBorder="1" applyAlignment="1" applyProtection="1">
      <alignment horizontal="center" vertical="center"/>
      <protection locked="0"/>
    </xf>
    <xf numFmtId="0" fontId="7" fillId="21" borderId="30" xfId="0" applyFont="1" applyFill="1" applyBorder="1" applyAlignment="1" applyProtection="1">
      <alignment horizontal="center" vertical="center"/>
      <protection locked="0"/>
    </xf>
    <xf numFmtId="0" fontId="14" fillId="15" borderId="47" xfId="0" applyFont="1" applyFill="1" applyBorder="1" applyAlignment="1" applyProtection="1">
      <alignment horizontal="center" vertical="center"/>
      <protection locked="0"/>
    </xf>
    <xf numFmtId="0" fontId="14" fillId="15" borderId="48" xfId="0" applyFont="1" applyFill="1" applyBorder="1" applyAlignment="1" applyProtection="1">
      <alignment horizontal="center" vertical="center"/>
      <protection locked="0"/>
    </xf>
    <xf numFmtId="0" fontId="14" fillId="15" borderId="49" xfId="0" applyFont="1" applyFill="1" applyBorder="1" applyAlignment="1" applyProtection="1">
      <alignment horizontal="center" vertical="center"/>
      <protection locked="0"/>
    </xf>
    <xf numFmtId="0" fontId="14" fillId="0" borderId="13" xfId="0" applyFont="1" applyBorder="1" applyAlignment="1" applyProtection="1">
      <alignment horizontal="center" vertical="center"/>
      <protection locked="0"/>
    </xf>
    <xf numFmtId="0" fontId="14" fillId="0" borderId="47" xfId="0" applyFont="1" applyBorder="1" applyAlignment="1" applyProtection="1">
      <alignment horizontal="center" vertical="center"/>
      <protection locked="0"/>
    </xf>
    <xf numFmtId="0" fontId="14" fillId="0" borderId="48" xfId="0" applyFont="1" applyBorder="1" applyAlignment="1" applyProtection="1">
      <alignment horizontal="center" vertical="center"/>
      <protection locked="0"/>
    </xf>
    <xf numFmtId="0" fontId="14" fillId="0" borderId="49" xfId="0" applyFont="1" applyBorder="1" applyAlignment="1" applyProtection="1">
      <alignment horizontal="center" vertical="center"/>
      <protection locked="0"/>
    </xf>
    <xf numFmtId="0" fontId="12" fillId="12" borderId="14" xfId="0" applyFont="1" applyFill="1" applyBorder="1" applyAlignment="1" applyProtection="1">
      <alignment horizontal="center" vertical="center" wrapText="1"/>
      <protection hidden="1"/>
    </xf>
    <xf numFmtId="0" fontId="14" fillId="12" borderId="14" xfId="0" applyFont="1" applyFill="1" applyBorder="1" applyAlignment="1" applyProtection="1">
      <alignment horizontal="center" vertical="center" wrapText="1"/>
      <protection hidden="1"/>
    </xf>
    <xf numFmtId="0" fontId="14" fillId="21" borderId="14" xfId="0" applyFont="1" applyFill="1" applyBorder="1" applyAlignment="1" applyProtection="1">
      <alignment horizontal="center" vertical="center"/>
      <protection locked="0"/>
    </xf>
    <xf numFmtId="0" fontId="25" fillId="0" borderId="15" xfId="0" applyFont="1" applyBorder="1" applyAlignment="1">
      <alignment horizontal="center" vertical="center" wrapText="1"/>
    </xf>
    <xf numFmtId="0" fontId="25" fillId="0" borderId="17" xfId="0" applyFont="1" applyBorder="1" applyAlignment="1">
      <alignment horizontal="center" vertical="center" wrapText="1"/>
    </xf>
    <xf numFmtId="0" fontId="24" fillId="0" borderId="0" xfId="0" applyFont="1" applyAlignment="1">
      <alignment horizontal="center"/>
    </xf>
    <xf numFmtId="0" fontId="0" fillId="0" borderId="0" xfId="0" applyAlignment="1">
      <alignment horizontal="center"/>
    </xf>
    <xf numFmtId="0" fontId="0" fillId="0" borderId="51" xfId="0" applyBorder="1" applyAlignment="1">
      <alignment horizontal="center"/>
    </xf>
    <xf numFmtId="0" fontId="25" fillId="0" borderId="16"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23" xfId="0" applyFont="1" applyBorder="1" applyAlignment="1">
      <alignment horizontal="center" vertical="center" wrapText="1"/>
    </xf>
    <xf numFmtId="0" fontId="0" fillId="0" borderId="14" xfId="0" applyBorder="1" applyAlignment="1">
      <alignment horizontal="right"/>
    </xf>
    <xf numFmtId="0" fontId="23" fillId="0" borderId="14" xfId="0" applyFont="1" applyBorder="1" applyAlignment="1">
      <alignment horizontal="center"/>
    </xf>
    <xf numFmtId="0" fontId="28" fillId="0" borderId="0" xfId="0" applyFont="1" applyAlignment="1">
      <alignment horizontal="center"/>
    </xf>
    <xf numFmtId="0" fontId="0" fillId="0" borderId="13" xfId="0" applyBorder="1" applyAlignment="1">
      <alignment horizontal="center"/>
    </xf>
    <xf numFmtId="0" fontId="37" fillId="0" borderId="51" xfId="0" applyFont="1" applyBorder="1" applyAlignment="1">
      <alignment horizontal="center"/>
    </xf>
    <xf numFmtId="0" fontId="23" fillId="29" borderId="50" xfId="0" applyFont="1" applyFill="1" applyBorder="1" applyAlignment="1">
      <alignment horizontal="center" vertical="center"/>
    </xf>
    <xf numFmtId="0" fontId="23" fillId="29" borderId="51" xfId="0" applyFont="1" applyFill="1" applyBorder="1" applyAlignment="1">
      <alignment horizontal="center" vertical="center"/>
    </xf>
    <xf numFmtId="0" fontId="28" fillId="0" borderId="51" xfId="0" applyFont="1" applyBorder="1" applyAlignment="1">
      <alignment horizontal="center"/>
    </xf>
    <xf numFmtId="0" fontId="23" fillId="29" borderId="15" xfId="0" applyFont="1" applyFill="1" applyBorder="1" applyAlignment="1">
      <alignment horizontal="center" vertical="center"/>
    </xf>
    <xf numFmtId="0" fontId="23" fillId="29" borderId="16" xfId="0" applyFont="1" applyFill="1" applyBorder="1" applyAlignment="1">
      <alignment horizontal="center" vertical="center"/>
    </xf>
    <xf numFmtId="0" fontId="23" fillId="29" borderId="17" xfId="0" applyFont="1" applyFill="1" applyBorder="1" applyAlignment="1">
      <alignment horizontal="center" vertical="center"/>
    </xf>
  </cellXfs>
  <cellStyles count="3">
    <cellStyle name="Excel Built-in Normal 1" xfId="2" xr:uid="{00000000-0005-0000-0000-000000000000}"/>
    <cellStyle name="Normal" xfId="0" builtinId="0"/>
    <cellStyle name="Normal 2" xfId="1" xr:uid="{00000000-0005-0000-0000-000002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15240</xdr:rowOff>
    </xdr:from>
    <xdr:to>
      <xdr:col>2</xdr:col>
      <xdr:colOff>228600</xdr:colOff>
      <xdr:row>2</xdr:row>
      <xdr:rowOff>158509</xdr:rowOff>
    </xdr:to>
    <xdr:pic>
      <xdr:nvPicPr>
        <xdr:cNvPr id="2" name="Picture 1" descr="Top University in India, Private Engineering Colleges in Pun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5240"/>
          <a:ext cx="1402080"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2</xdr:col>
      <xdr:colOff>314325</xdr:colOff>
      <xdr:row>2</xdr:row>
      <xdr:rowOff>171844</xdr:rowOff>
    </xdr:to>
    <xdr:pic>
      <xdr:nvPicPr>
        <xdr:cNvPr id="4" name="Picture 3" descr="Top University in India, Private Engineering Colleges in Pune">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8575"/>
          <a:ext cx="1409700"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xdr:colOff>
      <xdr:row>0</xdr:row>
      <xdr:rowOff>0</xdr:rowOff>
    </xdr:from>
    <xdr:to>
      <xdr:col>2</xdr:col>
      <xdr:colOff>198120</xdr:colOff>
      <xdr:row>2</xdr:row>
      <xdr:rowOff>173749</xdr:rowOff>
    </xdr:to>
    <xdr:pic>
      <xdr:nvPicPr>
        <xdr:cNvPr id="2" name="Picture 1" descr="Top University in India, Private Engineering Colleges in Pune">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0"/>
          <a:ext cx="1402080"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2</xdr:col>
      <xdr:colOff>47625</xdr:colOff>
      <xdr:row>3</xdr:row>
      <xdr:rowOff>394</xdr:rowOff>
    </xdr:to>
    <xdr:pic>
      <xdr:nvPicPr>
        <xdr:cNvPr id="5" name="Picture 4" descr="Top University in India, Private Engineering Colleges in Pune">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400175"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733425</xdr:colOff>
      <xdr:row>3</xdr:row>
      <xdr:rowOff>57544</xdr:rowOff>
    </xdr:to>
    <xdr:pic>
      <xdr:nvPicPr>
        <xdr:cNvPr id="3" name="Picture 2" descr="Top University in India, Private Engineering Colleges in Pune">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400175"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1038225</xdr:colOff>
      <xdr:row>3</xdr:row>
      <xdr:rowOff>394</xdr:rowOff>
    </xdr:to>
    <xdr:pic>
      <xdr:nvPicPr>
        <xdr:cNvPr id="3" name="Picture 2" descr="Top University in India, Private Engineering Colleges in Pune">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400175"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76200</xdr:rowOff>
    </xdr:from>
    <xdr:to>
      <xdr:col>1</xdr:col>
      <xdr:colOff>1038225</xdr:colOff>
      <xdr:row>3</xdr:row>
      <xdr:rowOff>394</xdr:rowOff>
    </xdr:to>
    <xdr:pic>
      <xdr:nvPicPr>
        <xdr:cNvPr id="4" name="Picture 3" descr="Top University in India, Private Engineering Colleges in Pune">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400175" cy="52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7"/>
  <sheetViews>
    <sheetView tabSelected="1" topLeftCell="A23" workbookViewId="0">
      <selection activeCell="C23" sqref="C23"/>
    </sheetView>
  </sheetViews>
  <sheetFormatPr defaultColWidth="12.58203125" defaultRowHeight="15" customHeight="1" x14ac:dyDescent="0.25"/>
  <cols>
    <col min="1" max="1" width="8.5" style="59" customWidth="1"/>
    <col min="2" max="3" width="7.83203125" style="59" customWidth="1"/>
    <col min="4" max="17" width="6.75" style="59" customWidth="1"/>
    <col min="18" max="22" width="7.58203125" style="59" customWidth="1"/>
    <col min="23" max="16384" width="12.58203125" style="59"/>
  </cols>
  <sheetData>
    <row r="1" spans="1:22" ht="15" customHeight="1" x14ac:dyDescent="0.25">
      <c r="B1" s="58"/>
      <c r="C1" s="190" t="s">
        <v>179</v>
      </c>
      <c r="D1" s="190"/>
      <c r="E1" s="190"/>
      <c r="F1" s="190"/>
      <c r="G1" s="190"/>
      <c r="H1" s="190"/>
      <c r="I1" s="190"/>
      <c r="J1" s="190"/>
      <c r="K1" s="190"/>
      <c r="L1" s="190"/>
      <c r="M1" s="190"/>
      <c r="N1" s="190"/>
      <c r="O1" s="190"/>
      <c r="P1" s="190"/>
      <c r="Q1" s="190"/>
    </row>
    <row r="2" spans="1:22" ht="15" customHeight="1" x14ac:dyDescent="0.25">
      <c r="B2" s="58"/>
      <c r="C2" s="197" t="s">
        <v>171</v>
      </c>
      <c r="D2" s="197"/>
      <c r="E2" s="197"/>
      <c r="F2" s="197"/>
      <c r="G2" s="197"/>
      <c r="H2" s="197"/>
      <c r="I2" s="197"/>
      <c r="J2" s="197"/>
      <c r="K2" s="197"/>
      <c r="L2" s="197"/>
      <c r="M2" s="197"/>
      <c r="N2" s="197"/>
      <c r="O2" s="197"/>
      <c r="P2" s="197"/>
      <c r="Q2" s="197"/>
    </row>
    <row r="3" spans="1:22" ht="15" customHeight="1" x14ac:dyDescent="0.25">
      <c r="A3" s="58"/>
      <c r="B3" s="58"/>
      <c r="C3" s="190"/>
      <c r="D3" s="190"/>
      <c r="E3" s="190"/>
      <c r="F3" s="190"/>
      <c r="G3" s="190"/>
      <c r="H3" s="190"/>
      <c r="I3" s="190"/>
      <c r="J3" s="190"/>
      <c r="K3" s="190"/>
      <c r="L3" s="190"/>
      <c r="M3" s="190"/>
      <c r="N3" s="190"/>
      <c r="O3" s="190"/>
      <c r="P3" s="190"/>
      <c r="Q3" s="190"/>
    </row>
    <row r="4" spans="1:22" ht="20.5" customHeight="1" x14ac:dyDescent="0.25">
      <c r="A4" s="194" t="s">
        <v>169</v>
      </c>
      <c r="B4" s="195"/>
      <c r="C4" s="195"/>
      <c r="D4" s="195"/>
      <c r="E4" s="195"/>
      <c r="F4" s="195"/>
      <c r="G4" s="195"/>
      <c r="H4" s="195"/>
      <c r="I4" s="195"/>
      <c r="J4" s="195"/>
      <c r="K4" s="195"/>
      <c r="L4" s="195"/>
      <c r="M4" s="195"/>
      <c r="N4" s="195"/>
      <c r="O4" s="195"/>
      <c r="P4" s="195"/>
      <c r="Q4" s="196"/>
    </row>
    <row r="5" spans="1:22" ht="14.25" customHeight="1" x14ac:dyDescent="0.25"/>
    <row r="6" spans="1:22" ht="14.25" customHeight="1" x14ac:dyDescent="0.3">
      <c r="A6" s="198" t="s">
        <v>0</v>
      </c>
      <c r="B6" s="199"/>
      <c r="C6" s="191" t="s">
        <v>197</v>
      </c>
      <c r="D6" s="192"/>
      <c r="E6" s="192"/>
      <c r="F6" s="192"/>
      <c r="G6" s="192"/>
      <c r="H6" s="192"/>
      <c r="I6" s="192"/>
      <c r="J6" s="192"/>
      <c r="K6" s="192"/>
      <c r="L6" s="192"/>
      <c r="M6" s="192"/>
      <c r="N6" s="192"/>
      <c r="O6" s="192"/>
      <c r="P6" s="192"/>
      <c r="Q6" s="193"/>
    </row>
    <row r="7" spans="1:22" ht="14.25" customHeight="1" x14ac:dyDescent="0.3">
      <c r="A7" s="228" t="s">
        <v>86</v>
      </c>
      <c r="B7" s="229"/>
      <c r="C7" s="191" t="s">
        <v>198</v>
      </c>
      <c r="D7" s="192"/>
      <c r="E7" s="192"/>
      <c r="F7" s="192"/>
      <c r="G7" s="192"/>
      <c r="H7" s="192"/>
      <c r="I7" s="192"/>
      <c r="J7" s="192"/>
      <c r="K7" s="192"/>
      <c r="L7" s="192"/>
      <c r="M7" s="192"/>
      <c r="N7" s="192"/>
      <c r="O7" s="192"/>
      <c r="P7" s="192"/>
      <c r="Q7" s="193"/>
    </row>
    <row r="8" spans="1:22" ht="14.25" customHeight="1" x14ac:dyDescent="0.3">
      <c r="A8" s="228" t="s">
        <v>85</v>
      </c>
      <c r="B8" s="229"/>
      <c r="C8" s="191" t="s">
        <v>199</v>
      </c>
      <c r="D8" s="192"/>
      <c r="E8" s="192"/>
      <c r="F8" s="192"/>
      <c r="G8" s="192"/>
      <c r="H8" s="192"/>
      <c r="I8" s="192"/>
      <c r="J8" s="192"/>
      <c r="K8" s="192"/>
      <c r="L8" s="192"/>
      <c r="M8" s="192"/>
      <c r="N8" s="192"/>
      <c r="O8" s="192"/>
      <c r="P8" s="192"/>
      <c r="Q8" s="193"/>
      <c r="R8" s="58"/>
      <c r="S8" s="58"/>
      <c r="T8" s="58"/>
    </row>
    <row r="9" spans="1:22" ht="14.25" customHeight="1" x14ac:dyDescent="0.3">
      <c r="A9" s="198" t="s">
        <v>1</v>
      </c>
      <c r="B9" s="199"/>
      <c r="C9" s="191">
        <v>310244</v>
      </c>
      <c r="D9" s="192"/>
      <c r="E9" s="192"/>
      <c r="F9" s="192"/>
      <c r="G9" s="192"/>
      <c r="H9" s="192"/>
      <c r="I9" s="192"/>
      <c r="J9" s="192"/>
      <c r="K9" s="192"/>
      <c r="L9" s="192"/>
      <c r="M9" s="192"/>
      <c r="N9" s="192"/>
      <c r="O9" s="192"/>
      <c r="P9" s="192"/>
      <c r="Q9" s="193"/>
    </row>
    <row r="10" spans="1:22" ht="14.25" customHeight="1" x14ac:dyDescent="0.3">
      <c r="A10" s="198" t="s">
        <v>2</v>
      </c>
      <c r="B10" s="199"/>
      <c r="C10" s="191" t="s">
        <v>200</v>
      </c>
      <c r="D10" s="192"/>
      <c r="E10" s="192"/>
      <c r="F10" s="192"/>
      <c r="G10" s="192"/>
      <c r="H10" s="192"/>
      <c r="I10" s="192"/>
      <c r="J10" s="192"/>
      <c r="K10" s="192"/>
      <c r="L10" s="192"/>
      <c r="M10" s="192"/>
      <c r="N10" s="192"/>
      <c r="O10" s="192"/>
      <c r="P10" s="192"/>
      <c r="Q10" s="193"/>
    </row>
    <row r="11" spans="1:22" ht="14.25" customHeight="1" x14ac:dyDescent="0.25"/>
    <row r="12" spans="1:22" ht="13.5" x14ac:dyDescent="0.25">
      <c r="A12" s="227" t="s">
        <v>3</v>
      </c>
      <c r="B12" s="227"/>
      <c r="C12" s="227"/>
      <c r="D12" s="227"/>
      <c r="E12" s="227"/>
      <c r="F12" s="227"/>
      <c r="G12" s="227"/>
      <c r="H12" s="227"/>
      <c r="I12" s="227"/>
      <c r="J12" s="227"/>
      <c r="K12" s="227"/>
      <c r="L12" s="227"/>
      <c r="M12" s="227"/>
      <c r="N12" s="227"/>
      <c r="O12" s="227"/>
      <c r="P12" s="227"/>
      <c r="Q12" s="227"/>
    </row>
    <row r="13" spans="1:22" ht="18" customHeight="1" x14ac:dyDescent="0.25">
      <c r="A13" s="106" t="s">
        <v>4</v>
      </c>
      <c r="B13" s="106" t="s">
        <v>5</v>
      </c>
      <c r="C13" s="226" t="s">
        <v>6</v>
      </c>
      <c r="D13" s="226"/>
      <c r="E13" s="226"/>
      <c r="F13" s="226"/>
      <c r="G13" s="226"/>
      <c r="H13" s="226"/>
      <c r="I13" s="226"/>
      <c r="J13" s="226"/>
      <c r="K13" s="226"/>
      <c r="L13" s="226"/>
      <c r="M13" s="226"/>
      <c r="N13" s="226"/>
      <c r="O13" s="226"/>
      <c r="P13" s="226"/>
      <c r="Q13" s="226"/>
      <c r="R13" s="107"/>
      <c r="S13" s="107"/>
      <c r="T13" s="107"/>
      <c r="U13" s="107"/>
      <c r="V13" s="107"/>
    </row>
    <row r="14" spans="1:22" ht="15.65" customHeight="1" x14ac:dyDescent="0.3">
      <c r="A14" s="108">
        <v>1</v>
      </c>
      <c r="B14" s="168" t="s">
        <v>201</v>
      </c>
      <c r="C14" s="230" t="s">
        <v>202</v>
      </c>
      <c r="D14" s="192"/>
      <c r="E14" s="192"/>
      <c r="F14" s="192"/>
      <c r="G14" s="192"/>
      <c r="H14" s="192"/>
      <c r="I14" s="192"/>
      <c r="J14" s="192"/>
      <c r="K14" s="192"/>
      <c r="L14" s="192"/>
      <c r="M14" s="192"/>
      <c r="N14" s="192"/>
      <c r="O14" s="192"/>
      <c r="P14" s="192"/>
      <c r="Q14" s="193"/>
    </row>
    <row r="15" spans="1:22" ht="15.65" customHeight="1" x14ac:dyDescent="0.3">
      <c r="A15" s="108">
        <v>2</v>
      </c>
      <c r="B15" s="168" t="s">
        <v>203</v>
      </c>
      <c r="C15" s="230" t="s">
        <v>204</v>
      </c>
      <c r="D15" s="192"/>
      <c r="E15" s="192"/>
      <c r="F15" s="192"/>
      <c r="G15" s="192"/>
      <c r="H15" s="192"/>
      <c r="I15" s="192"/>
      <c r="J15" s="192"/>
      <c r="K15" s="192"/>
      <c r="L15" s="192"/>
      <c r="M15" s="192"/>
      <c r="N15" s="192"/>
      <c r="O15" s="192"/>
      <c r="P15" s="192"/>
      <c r="Q15" s="193"/>
    </row>
    <row r="16" spans="1:22" ht="15.65" customHeight="1" x14ac:dyDescent="0.3">
      <c r="A16" s="108">
        <v>3</v>
      </c>
      <c r="B16" s="168" t="s">
        <v>205</v>
      </c>
      <c r="C16" s="230" t="s">
        <v>206</v>
      </c>
      <c r="D16" s="192"/>
      <c r="E16" s="192"/>
      <c r="F16" s="192"/>
      <c r="G16" s="192"/>
      <c r="H16" s="192"/>
      <c r="I16" s="192"/>
      <c r="J16" s="192"/>
      <c r="K16" s="192"/>
      <c r="L16" s="192"/>
      <c r="M16" s="192"/>
      <c r="N16" s="192"/>
      <c r="O16" s="192"/>
      <c r="P16" s="192"/>
      <c r="Q16" s="193"/>
    </row>
    <row r="17" spans="1:22" ht="15.65" customHeight="1" x14ac:dyDescent="0.3">
      <c r="A17" s="108">
        <v>4</v>
      </c>
      <c r="B17" s="168" t="s">
        <v>207</v>
      </c>
      <c r="C17" s="230" t="s">
        <v>208</v>
      </c>
      <c r="D17" s="192"/>
      <c r="E17" s="192"/>
      <c r="F17" s="192"/>
      <c r="G17" s="192"/>
      <c r="H17" s="192"/>
      <c r="I17" s="192"/>
      <c r="J17" s="192"/>
      <c r="K17" s="192"/>
      <c r="L17" s="192"/>
      <c r="M17" s="192"/>
      <c r="N17" s="192"/>
      <c r="O17" s="192"/>
      <c r="P17" s="192"/>
      <c r="Q17" s="193"/>
    </row>
    <row r="18" spans="1:22" ht="18" customHeight="1" x14ac:dyDescent="0.3">
      <c r="A18" s="108">
        <v>5</v>
      </c>
      <c r="B18" s="168" t="s">
        <v>209</v>
      </c>
      <c r="C18" s="230" t="s">
        <v>210</v>
      </c>
      <c r="D18" s="192"/>
      <c r="E18" s="192"/>
      <c r="F18" s="192"/>
      <c r="G18" s="192"/>
      <c r="H18" s="192"/>
      <c r="I18" s="192"/>
      <c r="J18" s="192"/>
      <c r="K18" s="192"/>
      <c r="L18" s="192"/>
      <c r="M18" s="192"/>
      <c r="N18" s="192"/>
      <c r="O18" s="192"/>
      <c r="P18" s="192"/>
      <c r="Q18" s="193"/>
    </row>
    <row r="19" spans="1:22" ht="15.65" customHeight="1" x14ac:dyDescent="0.3">
      <c r="A19" s="108">
        <v>6</v>
      </c>
      <c r="B19" s="168" t="s">
        <v>211</v>
      </c>
      <c r="C19" s="230" t="s">
        <v>212</v>
      </c>
      <c r="D19" s="192"/>
      <c r="E19" s="192"/>
      <c r="F19" s="192"/>
      <c r="G19" s="192"/>
      <c r="H19" s="192"/>
      <c r="I19" s="192"/>
      <c r="J19" s="192"/>
      <c r="K19" s="192"/>
      <c r="L19" s="192"/>
      <c r="M19" s="192"/>
      <c r="N19" s="192"/>
      <c r="O19" s="192"/>
      <c r="P19" s="192"/>
      <c r="Q19" s="193"/>
    </row>
    <row r="20" spans="1:22" ht="14.25" customHeight="1" x14ac:dyDescent="0.25"/>
    <row r="21" spans="1:22" ht="13.5" x14ac:dyDescent="0.25">
      <c r="A21" s="202" t="s">
        <v>174</v>
      </c>
      <c r="B21" s="202"/>
      <c r="C21" s="202"/>
      <c r="D21" s="202"/>
      <c r="E21" s="202"/>
      <c r="F21" s="202"/>
      <c r="G21" s="202"/>
      <c r="H21" s="202"/>
      <c r="I21" s="202"/>
      <c r="J21" s="202"/>
      <c r="K21" s="202"/>
      <c r="L21" s="202"/>
      <c r="M21" s="202"/>
      <c r="N21" s="202"/>
      <c r="O21" s="202"/>
      <c r="P21" s="202"/>
      <c r="Q21" s="202"/>
    </row>
    <row r="22" spans="1:22" ht="14.25" customHeight="1" x14ac:dyDescent="0.25">
      <c r="A22" s="109" t="s">
        <v>4</v>
      </c>
      <c r="B22" s="110" t="s">
        <v>5</v>
      </c>
      <c r="C22" s="111" t="s">
        <v>7</v>
      </c>
      <c r="D22" s="111" t="s">
        <v>8</v>
      </c>
      <c r="E22" s="111" t="s">
        <v>9</v>
      </c>
      <c r="F22" s="111" t="s">
        <v>10</v>
      </c>
      <c r="G22" s="111" t="s">
        <v>11</v>
      </c>
      <c r="H22" s="111" t="s">
        <v>12</v>
      </c>
      <c r="I22" s="111" t="s">
        <v>13</v>
      </c>
      <c r="J22" s="111" t="s">
        <v>14</v>
      </c>
      <c r="K22" s="111" t="s">
        <v>15</v>
      </c>
      <c r="L22" s="111" t="s">
        <v>16</v>
      </c>
      <c r="M22" s="111" t="s">
        <v>17</v>
      </c>
      <c r="N22" s="111" t="s">
        <v>18</v>
      </c>
      <c r="O22" s="111" t="s">
        <v>19</v>
      </c>
      <c r="P22" s="111" t="s">
        <v>20</v>
      </c>
      <c r="Q22" s="111" t="s">
        <v>21</v>
      </c>
    </row>
    <row r="23" spans="1:22" ht="14.25" customHeight="1" x14ac:dyDescent="0.25">
      <c r="A23" s="112">
        <v>1</v>
      </c>
      <c r="B23" s="120" t="str">
        <f t="shared" ref="B23:B28" si="0">B14</f>
        <v>C321.1</v>
      </c>
      <c r="C23" s="169">
        <v>3</v>
      </c>
      <c r="D23" s="169">
        <v>3</v>
      </c>
      <c r="E23" s="169">
        <v>2</v>
      </c>
      <c r="F23" s="169">
        <v>2</v>
      </c>
      <c r="G23" s="170" t="s">
        <v>213</v>
      </c>
      <c r="H23" s="170" t="s">
        <v>213</v>
      </c>
      <c r="I23" s="170" t="s">
        <v>213</v>
      </c>
      <c r="J23" s="170" t="s">
        <v>213</v>
      </c>
      <c r="K23" s="170" t="s">
        <v>213</v>
      </c>
      <c r="L23" s="170" t="s">
        <v>213</v>
      </c>
      <c r="M23" s="170" t="s">
        <v>213</v>
      </c>
      <c r="N23" s="170" t="s">
        <v>213</v>
      </c>
      <c r="O23" s="170">
        <v>3</v>
      </c>
      <c r="P23" s="170">
        <v>2</v>
      </c>
      <c r="Q23" s="170" t="s">
        <v>213</v>
      </c>
    </row>
    <row r="24" spans="1:22" ht="14.25" customHeight="1" x14ac:dyDescent="0.25">
      <c r="A24" s="112">
        <v>2</v>
      </c>
      <c r="B24" s="120" t="str">
        <f t="shared" si="0"/>
        <v>C321.2</v>
      </c>
      <c r="C24" s="169">
        <v>3</v>
      </c>
      <c r="D24" s="169">
        <v>3</v>
      </c>
      <c r="E24" s="169">
        <v>3</v>
      </c>
      <c r="F24" s="169">
        <v>2</v>
      </c>
      <c r="G24" s="170" t="s">
        <v>213</v>
      </c>
      <c r="H24" s="170" t="s">
        <v>213</v>
      </c>
      <c r="I24" s="170" t="s">
        <v>213</v>
      </c>
      <c r="J24" s="170" t="s">
        <v>213</v>
      </c>
      <c r="K24" s="170" t="s">
        <v>213</v>
      </c>
      <c r="L24" s="170" t="s">
        <v>213</v>
      </c>
      <c r="M24" s="170" t="s">
        <v>213</v>
      </c>
      <c r="N24" s="170" t="s">
        <v>213</v>
      </c>
      <c r="O24" s="170">
        <v>3</v>
      </c>
      <c r="P24" s="170">
        <v>2</v>
      </c>
      <c r="Q24" s="170" t="s">
        <v>213</v>
      </c>
    </row>
    <row r="25" spans="1:22" ht="14.25" customHeight="1" x14ac:dyDescent="0.25">
      <c r="A25" s="112">
        <v>3</v>
      </c>
      <c r="B25" s="120" t="str">
        <f t="shared" si="0"/>
        <v>C321.3</v>
      </c>
      <c r="C25" s="169">
        <v>3</v>
      </c>
      <c r="D25" s="169">
        <v>3</v>
      </c>
      <c r="E25" s="169">
        <v>3</v>
      </c>
      <c r="F25" s="169">
        <v>1</v>
      </c>
      <c r="G25" s="170" t="s">
        <v>213</v>
      </c>
      <c r="H25" s="170" t="s">
        <v>213</v>
      </c>
      <c r="I25" s="170" t="s">
        <v>213</v>
      </c>
      <c r="J25" s="170" t="s">
        <v>213</v>
      </c>
      <c r="K25" s="170" t="s">
        <v>213</v>
      </c>
      <c r="L25" s="170" t="s">
        <v>213</v>
      </c>
      <c r="M25" s="170" t="s">
        <v>213</v>
      </c>
      <c r="N25" s="170" t="s">
        <v>213</v>
      </c>
      <c r="O25" s="170">
        <v>3</v>
      </c>
      <c r="P25" s="170">
        <v>2</v>
      </c>
      <c r="Q25" s="170" t="s">
        <v>213</v>
      </c>
    </row>
    <row r="26" spans="1:22" ht="14.25" customHeight="1" x14ac:dyDescent="0.25">
      <c r="A26" s="112">
        <v>4</v>
      </c>
      <c r="B26" s="120" t="str">
        <f t="shared" si="0"/>
        <v>C321.4</v>
      </c>
      <c r="C26" s="169">
        <v>1</v>
      </c>
      <c r="D26" s="169">
        <v>2</v>
      </c>
      <c r="E26" s="169">
        <v>2</v>
      </c>
      <c r="F26" s="169">
        <v>1</v>
      </c>
      <c r="G26" s="169" t="s">
        <v>213</v>
      </c>
      <c r="H26" s="170" t="s">
        <v>213</v>
      </c>
      <c r="I26" s="170" t="s">
        <v>213</v>
      </c>
      <c r="J26" s="170" t="s">
        <v>213</v>
      </c>
      <c r="K26" s="170" t="s">
        <v>213</v>
      </c>
      <c r="L26" s="170" t="s">
        <v>213</v>
      </c>
      <c r="M26" s="170" t="s">
        <v>213</v>
      </c>
      <c r="N26" s="170" t="s">
        <v>213</v>
      </c>
      <c r="O26" s="170">
        <v>3</v>
      </c>
      <c r="P26" s="170">
        <v>2</v>
      </c>
      <c r="Q26" s="170" t="s">
        <v>213</v>
      </c>
    </row>
    <row r="27" spans="1:22" ht="14.25" customHeight="1" x14ac:dyDescent="0.25">
      <c r="A27" s="112">
        <v>5</v>
      </c>
      <c r="B27" s="120" t="str">
        <f t="shared" si="0"/>
        <v>C321.5</v>
      </c>
      <c r="C27" s="169">
        <v>1</v>
      </c>
      <c r="D27" s="169">
        <v>2</v>
      </c>
      <c r="E27" s="169">
        <v>2</v>
      </c>
      <c r="F27" s="169">
        <v>1</v>
      </c>
      <c r="G27" s="169" t="s">
        <v>213</v>
      </c>
      <c r="H27" s="170" t="s">
        <v>213</v>
      </c>
      <c r="I27" s="170" t="s">
        <v>213</v>
      </c>
      <c r="J27" s="170" t="s">
        <v>213</v>
      </c>
      <c r="K27" s="170" t="s">
        <v>213</v>
      </c>
      <c r="L27" s="170" t="s">
        <v>213</v>
      </c>
      <c r="M27" s="170" t="s">
        <v>213</v>
      </c>
      <c r="N27" s="170">
        <v>1</v>
      </c>
      <c r="O27" s="170">
        <v>3</v>
      </c>
      <c r="P27" s="170">
        <v>2</v>
      </c>
      <c r="Q27" s="170">
        <v>1</v>
      </c>
    </row>
    <row r="28" spans="1:22" ht="14.25" customHeight="1" x14ac:dyDescent="0.25">
      <c r="A28" s="112">
        <v>6</v>
      </c>
      <c r="B28" s="120" t="str">
        <f t="shared" si="0"/>
        <v>C321.6</v>
      </c>
      <c r="C28" s="169">
        <v>1</v>
      </c>
      <c r="D28" s="169">
        <v>3</v>
      </c>
      <c r="E28" s="169">
        <v>1</v>
      </c>
      <c r="F28" s="169">
        <v>1</v>
      </c>
      <c r="G28" s="169" t="s">
        <v>213</v>
      </c>
      <c r="H28" s="170" t="s">
        <v>213</v>
      </c>
      <c r="I28" s="170" t="s">
        <v>213</v>
      </c>
      <c r="J28" s="170" t="s">
        <v>213</v>
      </c>
      <c r="K28" s="170" t="s">
        <v>213</v>
      </c>
      <c r="L28" s="170" t="s">
        <v>213</v>
      </c>
      <c r="M28" s="170" t="s">
        <v>213</v>
      </c>
      <c r="N28" s="170">
        <v>1</v>
      </c>
      <c r="O28" s="170">
        <v>3</v>
      </c>
      <c r="P28" s="170">
        <v>2</v>
      </c>
      <c r="Q28" s="170">
        <v>1</v>
      </c>
    </row>
    <row r="29" spans="1:22" ht="14.25" customHeight="1" x14ac:dyDescent="0.25">
      <c r="A29" s="113" t="s">
        <v>22</v>
      </c>
      <c r="B29" s="114"/>
      <c r="C29" s="121">
        <f t="shared" ref="C29:Q29" si="1">IFERROR(AVERAGE(C23:C28),"-")</f>
        <v>2</v>
      </c>
      <c r="D29" s="121">
        <f t="shared" si="1"/>
        <v>2.6666666666666665</v>
      </c>
      <c r="E29" s="121">
        <f t="shared" si="1"/>
        <v>2.1666666666666665</v>
      </c>
      <c r="F29" s="121">
        <f t="shared" si="1"/>
        <v>1.3333333333333333</v>
      </c>
      <c r="G29" s="121" t="str">
        <f t="shared" si="1"/>
        <v>-</v>
      </c>
      <c r="H29" s="121" t="str">
        <f t="shared" si="1"/>
        <v>-</v>
      </c>
      <c r="I29" s="121" t="str">
        <f t="shared" si="1"/>
        <v>-</v>
      </c>
      <c r="J29" s="121" t="str">
        <f t="shared" si="1"/>
        <v>-</v>
      </c>
      <c r="K29" s="121" t="str">
        <f t="shared" si="1"/>
        <v>-</v>
      </c>
      <c r="L29" s="121" t="str">
        <f t="shared" si="1"/>
        <v>-</v>
      </c>
      <c r="M29" s="121" t="str">
        <f t="shared" si="1"/>
        <v>-</v>
      </c>
      <c r="N29" s="121">
        <f t="shared" si="1"/>
        <v>1</v>
      </c>
      <c r="O29" s="121">
        <f t="shared" si="1"/>
        <v>3</v>
      </c>
      <c r="P29" s="121">
        <f t="shared" si="1"/>
        <v>2</v>
      </c>
      <c r="Q29" s="121">
        <f t="shared" si="1"/>
        <v>1</v>
      </c>
    </row>
    <row r="30" spans="1:22" ht="12" customHeight="1" x14ac:dyDescent="0.25"/>
    <row r="31" spans="1:22" ht="13.5" x14ac:dyDescent="0.25">
      <c r="A31" s="210" t="s">
        <v>152</v>
      </c>
      <c r="B31" s="210"/>
      <c r="C31" s="210"/>
      <c r="D31" s="209" t="s">
        <v>165</v>
      </c>
      <c r="E31" s="209"/>
      <c r="F31" s="115"/>
      <c r="G31" s="115"/>
      <c r="H31" s="115"/>
      <c r="I31" s="115"/>
      <c r="J31" s="115"/>
      <c r="K31" s="115"/>
      <c r="L31" s="115"/>
      <c r="M31" s="115"/>
      <c r="N31" s="115"/>
      <c r="O31" s="107"/>
      <c r="P31" s="107"/>
      <c r="Q31" s="107"/>
      <c r="R31" s="107"/>
      <c r="S31" s="107"/>
      <c r="T31" s="107"/>
      <c r="U31" s="107"/>
      <c r="V31" s="107"/>
    </row>
    <row r="32" spans="1:22" ht="13.5" x14ac:dyDescent="0.25">
      <c r="A32" s="203">
        <f>D48</f>
        <v>2.0666666666666669</v>
      </c>
      <c r="B32" s="204"/>
      <c r="C32" s="204"/>
      <c r="D32" s="209"/>
      <c r="E32" s="209"/>
      <c r="F32" s="116"/>
      <c r="G32" s="117"/>
      <c r="H32" s="117"/>
      <c r="I32" s="117"/>
      <c r="J32" s="117"/>
      <c r="K32" s="117"/>
      <c r="L32" s="117"/>
      <c r="M32" s="117"/>
      <c r="N32" s="117"/>
      <c r="O32" s="107"/>
      <c r="P32" s="107"/>
      <c r="Q32" s="107"/>
      <c r="R32" s="107"/>
      <c r="S32" s="107"/>
      <c r="T32" s="107"/>
      <c r="U32" s="107"/>
      <c r="V32" s="107"/>
    </row>
    <row r="33" spans="1:22" ht="14.25" customHeight="1" x14ac:dyDescent="0.25">
      <c r="A33" s="118"/>
      <c r="B33" s="118"/>
      <c r="C33" s="118"/>
      <c r="D33" s="118"/>
      <c r="E33" s="118"/>
      <c r="F33" s="118"/>
      <c r="G33" s="118"/>
      <c r="H33" s="118"/>
      <c r="I33" s="118"/>
      <c r="J33" s="118"/>
      <c r="K33" s="118"/>
      <c r="L33" s="118"/>
      <c r="M33" s="118"/>
      <c r="N33" s="118"/>
      <c r="O33" s="118"/>
      <c r="P33" s="119"/>
      <c r="Q33" s="119"/>
      <c r="R33" s="107"/>
      <c r="S33" s="107"/>
      <c r="T33" s="107"/>
      <c r="U33" s="107"/>
      <c r="V33" s="107"/>
    </row>
    <row r="34" spans="1:22" ht="13.5" x14ac:dyDescent="0.25">
      <c r="A34" s="200" t="s">
        <v>167</v>
      </c>
      <c r="B34" s="201"/>
      <c r="C34" s="201"/>
      <c r="D34" s="201"/>
      <c r="E34" s="201"/>
      <c r="F34" s="201"/>
      <c r="G34" s="201"/>
      <c r="H34" s="201"/>
      <c r="I34" s="201"/>
      <c r="J34" s="201"/>
      <c r="K34" s="201"/>
      <c r="L34" s="201"/>
      <c r="M34" s="201"/>
      <c r="N34" s="201"/>
      <c r="O34" s="201"/>
      <c r="P34" s="201"/>
      <c r="Q34" s="201"/>
      <c r="R34" s="107"/>
      <c r="S34" s="107"/>
      <c r="T34" s="107"/>
      <c r="U34" s="107"/>
      <c r="V34" s="107"/>
    </row>
    <row r="35" spans="1:22" ht="14.25" customHeight="1" x14ac:dyDescent="0.25">
      <c r="A35" s="205" t="s">
        <v>5</v>
      </c>
      <c r="B35" s="206"/>
      <c r="C35" s="122" t="s">
        <v>7</v>
      </c>
      <c r="D35" s="122" t="s">
        <v>8</v>
      </c>
      <c r="E35" s="122" t="s">
        <v>9</v>
      </c>
      <c r="F35" s="122" t="s">
        <v>10</v>
      </c>
      <c r="G35" s="122" t="s">
        <v>11</v>
      </c>
      <c r="H35" s="122" t="s">
        <v>12</v>
      </c>
      <c r="I35" s="122" t="s">
        <v>13</v>
      </c>
      <c r="J35" s="122" t="s">
        <v>14</v>
      </c>
      <c r="K35" s="122" t="s">
        <v>15</v>
      </c>
      <c r="L35" s="122" t="s">
        <v>16</v>
      </c>
      <c r="M35" s="122" t="s">
        <v>17</v>
      </c>
      <c r="N35" s="122" t="s">
        <v>18</v>
      </c>
      <c r="O35" s="122" t="s">
        <v>19</v>
      </c>
      <c r="P35" s="122" t="s">
        <v>20</v>
      </c>
      <c r="Q35" s="122" t="s">
        <v>21</v>
      </c>
      <c r="R35" s="107"/>
      <c r="S35" s="107"/>
      <c r="T35" s="107"/>
      <c r="U35" s="107"/>
      <c r="V35" s="107"/>
    </row>
    <row r="36" spans="1:22" ht="14.25" customHeight="1" x14ac:dyDescent="0.25">
      <c r="A36" s="207">
        <f>C9</f>
        <v>310244</v>
      </c>
      <c r="B36" s="208"/>
      <c r="C36" s="123">
        <f>IF(C29&lt;&gt;"-",C29*$A$32/3,"-")</f>
        <v>1.377777777777778</v>
      </c>
      <c r="D36" s="123">
        <f t="shared" ref="D36:Q36" si="2">IF(D29&lt;&gt;"-",D29*$A$32/3,"-")</f>
        <v>1.837037037037037</v>
      </c>
      <c r="E36" s="123">
        <f t="shared" si="2"/>
        <v>1.4925925925925927</v>
      </c>
      <c r="F36" s="123">
        <f t="shared" si="2"/>
        <v>0.91851851851851851</v>
      </c>
      <c r="G36" s="123" t="str">
        <f t="shared" si="2"/>
        <v>-</v>
      </c>
      <c r="H36" s="123" t="str">
        <f t="shared" si="2"/>
        <v>-</v>
      </c>
      <c r="I36" s="123" t="str">
        <f t="shared" si="2"/>
        <v>-</v>
      </c>
      <c r="J36" s="123" t="str">
        <f t="shared" si="2"/>
        <v>-</v>
      </c>
      <c r="K36" s="123" t="str">
        <f t="shared" si="2"/>
        <v>-</v>
      </c>
      <c r="L36" s="123" t="str">
        <f t="shared" si="2"/>
        <v>-</v>
      </c>
      <c r="M36" s="123" t="str">
        <f t="shared" si="2"/>
        <v>-</v>
      </c>
      <c r="N36" s="123">
        <f t="shared" si="2"/>
        <v>0.68888888888888899</v>
      </c>
      <c r="O36" s="123">
        <f t="shared" si="2"/>
        <v>2.0666666666666669</v>
      </c>
      <c r="P36" s="123">
        <f t="shared" si="2"/>
        <v>1.377777777777778</v>
      </c>
      <c r="Q36" s="123">
        <f t="shared" si="2"/>
        <v>0.68888888888888899</v>
      </c>
      <c r="R36" s="107"/>
      <c r="S36" s="107"/>
      <c r="T36" s="107"/>
      <c r="U36" s="107"/>
      <c r="V36" s="107"/>
    </row>
    <row r="37" spans="1:22" ht="13.9" customHeight="1" x14ac:dyDescent="0.25">
      <c r="A37" s="124"/>
      <c r="B37" s="124"/>
      <c r="C37" s="125"/>
      <c r="D37" s="125"/>
      <c r="E37" s="125"/>
      <c r="F37" s="125"/>
      <c r="G37" s="125"/>
      <c r="H37" s="125"/>
      <c r="I37" s="125"/>
      <c r="J37" s="125"/>
      <c r="K37" s="125"/>
      <c r="L37" s="125"/>
      <c r="M37" s="125"/>
      <c r="N37" s="125"/>
      <c r="O37" s="125"/>
      <c r="P37" s="125"/>
      <c r="Q37" s="125"/>
      <c r="R37" s="107"/>
      <c r="S37" s="107"/>
      <c r="T37" s="107"/>
      <c r="U37" s="107"/>
      <c r="V37" s="107"/>
    </row>
    <row r="38" spans="1:22" ht="5.5" customHeight="1" thickBot="1" x14ac:dyDescent="0.3">
      <c r="A38" s="126"/>
      <c r="B38" s="126"/>
      <c r="C38" s="126"/>
      <c r="D38" s="126"/>
      <c r="E38" s="126"/>
      <c r="F38" s="126"/>
      <c r="G38" s="126"/>
      <c r="H38" s="126"/>
      <c r="I38" s="126"/>
      <c r="J38" s="126"/>
      <c r="K38" s="126"/>
      <c r="L38" s="126"/>
      <c r="M38" s="126"/>
      <c r="N38" s="126"/>
      <c r="O38" s="126"/>
      <c r="P38" s="127"/>
      <c r="Q38" s="127"/>
      <c r="R38" s="107"/>
      <c r="S38" s="107"/>
      <c r="T38" s="107"/>
      <c r="U38" s="107"/>
      <c r="V38" s="107"/>
    </row>
    <row r="39" spans="1:22" ht="14.25" customHeight="1" x14ac:dyDescent="0.25">
      <c r="A39" s="211" t="s">
        <v>164</v>
      </c>
      <c r="B39" s="212"/>
      <c r="C39" s="212"/>
      <c r="D39" s="212"/>
      <c r="E39" s="212"/>
      <c r="F39" s="212"/>
      <c r="G39" s="212"/>
      <c r="H39" s="212"/>
      <c r="I39" s="212"/>
      <c r="J39" s="128"/>
      <c r="K39" s="128"/>
      <c r="L39" s="128"/>
      <c r="M39" s="128"/>
      <c r="N39" s="129"/>
      <c r="O39" s="130"/>
      <c r="P39" s="130"/>
      <c r="Q39" s="130"/>
    </row>
    <row r="40" spans="1:22" ht="19.899999999999999" customHeight="1" x14ac:dyDescent="0.3">
      <c r="A40" s="131"/>
      <c r="B40" s="132"/>
      <c r="C40" s="132"/>
      <c r="D40" s="133" t="s">
        <v>23</v>
      </c>
      <c r="E40" s="133" t="s">
        <v>24</v>
      </c>
      <c r="F40" s="133" t="s">
        <v>25</v>
      </c>
      <c r="G40" s="133" t="s">
        <v>26</v>
      </c>
      <c r="H40" s="133" t="s">
        <v>27</v>
      </c>
      <c r="I40" s="133" t="s">
        <v>28</v>
      </c>
      <c r="J40" s="134"/>
      <c r="K40" s="134"/>
      <c r="L40" s="134"/>
      <c r="M40" s="134"/>
      <c r="N40" s="135"/>
      <c r="O40" s="130"/>
      <c r="P40" s="130"/>
      <c r="Q40" s="130"/>
    </row>
    <row r="41" spans="1:22" ht="19.899999999999999" customHeight="1" x14ac:dyDescent="0.25">
      <c r="A41" s="222" t="s">
        <v>161</v>
      </c>
      <c r="B41" s="223"/>
      <c r="C41" s="220" t="s">
        <v>173</v>
      </c>
      <c r="D41" s="136">
        <f>Examination!F17</f>
        <v>45.833333333333336</v>
      </c>
      <c r="E41" s="136">
        <f>Examination!G17</f>
        <v>33.333333333333336</v>
      </c>
      <c r="F41" s="136">
        <f>Examination!H17</f>
        <v>45.833333333333336</v>
      </c>
      <c r="G41" s="136">
        <f>Examination!I17</f>
        <v>25</v>
      </c>
      <c r="H41" s="136">
        <f>Examination!J17</f>
        <v>79.166666666666671</v>
      </c>
      <c r="I41" s="136">
        <f>Examination!K17</f>
        <v>50</v>
      </c>
      <c r="J41" s="137" t="s">
        <v>172</v>
      </c>
      <c r="K41" s="138"/>
      <c r="L41" s="138"/>
      <c r="M41" s="138"/>
      <c r="N41" s="139"/>
      <c r="O41" s="140"/>
      <c r="P41" s="130"/>
      <c r="Q41" s="130"/>
    </row>
    <row r="42" spans="1:22" ht="19.899999999999999" customHeight="1" x14ac:dyDescent="0.25">
      <c r="A42" s="224" t="s">
        <v>160</v>
      </c>
      <c r="B42" s="225"/>
      <c r="C42" s="221"/>
      <c r="D42" s="141">
        <f t="shared" ref="D42:I42" si="3">IF((D41&gt;=60),3,IF(AND(D41&gt;=40,D41&lt;60),2,IF(AND(D41&gt;0,D41&lt;40),1,"")))</f>
        <v>2</v>
      </c>
      <c r="E42" s="141">
        <f t="shared" si="3"/>
        <v>1</v>
      </c>
      <c r="F42" s="141">
        <f t="shared" si="3"/>
        <v>2</v>
      </c>
      <c r="G42" s="141">
        <f t="shared" si="3"/>
        <v>1</v>
      </c>
      <c r="H42" s="141">
        <f t="shared" si="3"/>
        <v>3</v>
      </c>
      <c r="I42" s="141">
        <f t="shared" si="3"/>
        <v>2</v>
      </c>
      <c r="J42" s="134"/>
      <c r="K42" s="134"/>
      <c r="L42" s="134"/>
      <c r="M42" s="134"/>
      <c r="N42" s="135"/>
      <c r="O42" s="130"/>
      <c r="P42" s="130"/>
      <c r="Q42" s="130"/>
    </row>
    <row r="43" spans="1:22" ht="19.899999999999999" customHeight="1" x14ac:dyDescent="0.25">
      <c r="A43" s="222" t="s">
        <v>161</v>
      </c>
      <c r="B43" s="223"/>
      <c r="C43" s="220" t="s">
        <v>155</v>
      </c>
      <c r="D43" s="136">
        <f>'Course End Survey'!C15</f>
        <v>87.625</v>
      </c>
      <c r="E43" s="136">
        <f>'Course End Survey'!D15</f>
        <v>73.625</v>
      </c>
      <c r="F43" s="136">
        <f>'Course End Survey'!E15</f>
        <v>76.375</v>
      </c>
      <c r="G43" s="136">
        <f>'Course End Survey'!F15</f>
        <v>69.291666666666671</v>
      </c>
      <c r="H43" s="136">
        <f>'Course End Survey'!G15</f>
        <v>89</v>
      </c>
      <c r="I43" s="136">
        <f>'Course End Survey'!H15</f>
        <v>90.375</v>
      </c>
      <c r="J43" s="137" t="s">
        <v>168</v>
      </c>
      <c r="K43" s="138"/>
      <c r="L43" s="138"/>
      <c r="M43" s="138"/>
      <c r="N43" s="139"/>
      <c r="O43" s="130"/>
      <c r="P43" s="130"/>
      <c r="Q43" s="130"/>
    </row>
    <row r="44" spans="1:22" ht="19.899999999999999" customHeight="1" x14ac:dyDescent="0.25">
      <c r="A44" s="224" t="s">
        <v>160</v>
      </c>
      <c r="B44" s="225"/>
      <c r="C44" s="221"/>
      <c r="D44" s="141">
        <f t="shared" ref="D44:I44" si="4">IF((D43&gt;=60),3,IF(AND(D43&gt;=40,D43&lt;60),2,IF(AND(D43&gt;0,D43&lt;40),1,"")))</f>
        <v>3</v>
      </c>
      <c r="E44" s="141">
        <f t="shared" si="4"/>
        <v>3</v>
      </c>
      <c r="F44" s="141">
        <f t="shared" si="4"/>
        <v>3</v>
      </c>
      <c r="G44" s="141">
        <f t="shared" si="4"/>
        <v>3</v>
      </c>
      <c r="H44" s="141">
        <f t="shared" si="4"/>
        <v>3</v>
      </c>
      <c r="I44" s="141">
        <f t="shared" si="4"/>
        <v>3</v>
      </c>
      <c r="J44" s="134"/>
      <c r="K44" s="134"/>
      <c r="L44" s="134"/>
      <c r="M44" s="134"/>
      <c r="N44" s="135"/>
      <c r="O44" s="130"/>
      <c r="P44" s="130"/>
      <c r="Q44" s="130"/>
    </row>
    <row r="45" spans="1:22" ht="8.5" customHeight="1" x14ac:dyDescent="0.25">
      <c r="A45" s="142"/>
      <c r="B45" s="143"/>
      <c r="C45" s="143"/>
      <c r="D45" s="144"/>
      <c r="E45" s="144"/>
      <c r="F45" s="144"/>
      <c r="G45" s="144"/>
      <c r="H45" s="144"/>
      <c r="I45" s="144"/>
      <c r="J45" s="134"/>
      <c r="K45" s="134"/>
      <c r="L45" s="134"/>
      <c r="M45" s="134"/>
      <c r="N45" s="135"/>
      <c r="O45" s="130"/>
      <c r="P45" s="130"/>
      <c r="Q45" s="130"/>
    </row>
    <row r="46" spans="1:22" ht="19.899999999999999" customHeight="1" x14ac:dyDescent="0.25">
      <c r="A46" s="214" t="s">
        <v>153</v>
      </c>
      <c r="B46" s="215"/>
      <c r="C46" s="216"/>
      <c r="D46" s="145">
        <f t="shared" ref="D46:I46" si="5">D42*0.8+D44*0.2</f>
        <v>2.2000000000000002</v>
      </c>
      <c r="E46" s="145">
        <f t="shared" si="5"/>
        <v>1.4000000000000001</v>
      </c>
      <c r="F46" s="145">
        <f t="shared" si="5"/>
        <v>2.2000000000000002</v>
      </c>
      <c r="G46" s="145">
        <f t="shared" si="5"/>
        <v>1.4000000000000001</v>
      </c>
      <c r="H46" s="145">
        <f t="shared" si="5"/>
        <v>3.0000000000000004</v>
      </c>
      <c r="I46" s="145">
        <f t="shared" si="5"/>
        <v>2.2000000000000002</v>
      </c>
      <c r="J46" s="134"/>
      <c r="K46" s="134"/>
      <c r="L46" s="134"/>
      <c r="M46" s="134"/>
      <c r="N46" s="135"/>
      <c r="O46" s="130"/>
      <c r="P46" s="130"/>
      <c r="Q46" s="130"/>
    </row>
    <row r="47" spans="1:22" ht="14.25" customHeight="1" x14ac:dyDescent="0.25">
      <c r="A47" s="146"/>
      <c r="B47" s="143"/>
      <c r="C47" s="147"/>
      <c r="D47" s="144"/>
      <c r="E47" s="144"/>
      <c r="F47" s="144"/>
      <c r="G47" s="144"/>
      <c r="H47" s="144"/>
      <c r="I47" s="148"/>
      <c r="J47" s="134"/>
      <c r="K47" s="134"/>
      <c r="L47" s="134"/>
      <c r="M47" s="134"/>
      <c r="N47" s="135"/>
      <c r="O47" s="130"/>
      <c r="P47" s="130"/>
      <c r="Q47" s="130"/>
    </row>
    <row r="48" spans="1:22" ht="30" customHeight="1" thickBot="1" x14ac:dyDescent="0.3">
      <c r="A48" s="217" t="s">
        <v>154</v>
      </c>
      <c r="B48" s="218"/>
      <c r="C48" s="219"/>
      <c r="D48" s="213">
        <f>AVERAGE(D46:I46)</f>
        <v>2.0666666666666669</v>
      </c>
      <c r="E48" s="213"/>
      <c r="F48" s="213"/>
      <c r="G48" s="213"/>
      <c r="H48" s="213"/>
      <c r="I48" s="213"/>
      <c r="J48" s="149"/>
      <c r="K48" s="149"/>
      <c r="L48" s="149"/>
      <c r="M48" s="149"/>
      <c r="N48" s="150"/>
      <c r="O48" s="130"/>
      <c r="P48" s="130"/>
      <c r="Q48" s="130"/>
    </row>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sheetData>
  <sheetProtection sheet="1" objects="1" scenarios="1" selectLockedCells="1"/>
  <mergeCells count="39">
    <mergeCell ref="C19:Q19"/>
    <mergeCell ref="C14:Q14"/>
    <mergeCell ref="C15:Q15"/>
    <mergeCell ref="C16:Q16"/>
    <mergeCell ref="C17:Q17"/>
    <mergeCell ref="C18:Q18"/>
    <mergeCell ref="C13:Q13"/>
    <mergeCell ref="A12:Q12"/>
    <mergeCell ref="C6:Q6"/>
    <mergeCell ref="C8:Q8"/>
    <mergeCell ref="C7:Q7"/>
    <mergeCell ref="A10:B10"/>
    <mergeCell ref="A7:B7"/>
    <mergeCell ref="A8:B8"/>
    <mergeCell ref="A39:I39"/>
    <mergeCell ref="D48:I48"/>
    <mergeCell ref="A46:C46"/>
    <mergeCell ref="A48:C48"/>
    <mergeCell ref="C43:C44"/>
    <mergeCell ref="C41:C42"/>
    <mergeCell ref="A41:B41"/>
    <mergeCell ref="A42:B42"/>
    <mergeCell ref="A43:B43"/>
    <mergeCell ref="A44:B44"/>
    <mergeCell ref="A34:Q34"/>
    <mergeCell ref="A21:Q21"/>
    <mergeCell ref="A32:C32"/>
    <mergeCell ref="A35:B35"/>
    <mergeCell ref="A36:B36"/>
    <mergeCell ref="D31:E32"/>
    <mergeCell ref="A31:C31"/>
    <mergeCell ref="C1:Q1"/>
    <mergeCell ref="C9:Q9"/>
    <mergeCell ref="C10:Q10"/>
    <mergeCell ref="A4:Q4"/>
    <mergeCell ref="C3:Q3"/>
    <mergeCell ref="C2:Q2"/>
    <mergeCell ref="A6:B6"/>
    <mergeCell ref="A9:B9"/>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77"/>
  <sheetViews>
    <sheetView topLeftCell="B65" workbookViewId="0">
      <selection activeCell="K12" sqref="K12"/>
    </sheetView>
  </sheetViews>
  <sheetFormatPr defaultColWidth="8.75" defaultRowHeight="15" customHeight="1" x14ac:dyDescent="0.35"/>
  <cols>
    <col min="1" max="1" width="29.25" style="10" customWidth="1"/>
    <col min="2" max="2" width="47" style="10" customWidth="1"/>
    <col min="3" max="3" width="1.58203125" style="24" customWidth="1"/>
    <col min="4" max="9" width="8.58203125" style="10" customWidth="1"/>
    <col min="10" max="10" width="1.5" style="24" customWidth="1"/>
    <col min="11" max="16" width="7.08203125" style="10" customWidth="1"/>
    <col min="17" max="17" width="1.5" style="10" customWidth="1"/>
    <col min="18" max="33" width="7.58203125" style="10" customWidth="1"/>
    <col min="34" max="16384" width="8.75" style="10"/>
  </cols>
  <sheetData>
    <row r="1" spans="1:33" s="31" customFormat="1" ht="15" customHeight="1" x14ac:dyDescent="0.25">
      <c r="A1" s="35"/>
      <c r="B1" s="260"/>
      <c r="C1" s="260"/>
      <c r="D1" s="260"/>
      <c r="E1" s="260"/>
      <c r="F1" s="260"/>
      <c r="G1" s="260"/>
      <c r="H1" s="260"/>
      <c r="I1" s="260"/>
      <c r="J1" s="260"/>
      <c r="K1" s="260"/>
      <c r="L1" s="260"/>
      <c r="M1" s="260"/>
      <c r="N1" s="260"/>
    </row>
    <row r="2" spans="1:33" s="31" customFormat="1" ht="15" customHeight="1" x14ac:dyDescent="0.25">
      <c r="A2" s="35"/>
      <c r="B2" s="261"/>
      <c r="C2" s="261"/>
      <c r="D2" s="261"/>
      <c r="E2" s="261"/>
      <c r="F2" s="261"/>
      <c r="G2" s="261"/>
      <c r="H2" s="261"/>
      <c r="I2" s="261"/>
      <c r="J2" s="261"/>
      <c r="K2" s="261"/>
      <c r="L2" s="261"/>
      <c r="M2" s="261"/>
      <c r="N2" s="261"/>
    </row>
    <row r="3" spans="1:33" s="31" customFormat="1" ht="15" customHeight="1" x14ac:dyDescent="0.25">
      <c r="A3" s="35"/>
      <c r="B3" s="260"/>
      <c r="C3" s="260"/>
      <c r="D3" s="260"/>
      <c r="E3" s="260"/>
      <c r="F3" s="260"/>
      <c r="G3" s="260"/>
      <c r="H3" s="260"/>
      <c r="I3" s="260"/>
      <c r="J3" s="260"/>
      <c r="K3" s="260"/>
      <c r="L3" s="260"/>
      <c r="M3" s="260"/>
      <c r="N3" s="260"/>
      <c r="O3" s="35"/>
      <c r="P3" s="35"/>
    </row>
    <row r="4" spans="1:33" s="31" customFormat="1" ht="24.65" customHeight="1" x14ac:dyDescent="0.3">
      <c r="A4" s="265" t="s">
        <v>29</v>
      </c>
      <c r="B4" s="266"/>
      <c r="C4" s="36"/>
      <c r="D4" s="267" t="s">
        <v>124</v>
      </c>
      <c r="E4" s="268"/>
      <c r="F4" s="268"/>
      <c r="G4" s="268"/>
      <c r="H4" s="268"/>
      <c r="I4" s="269"/>
      <c r="J4" s="37"/>
      <c r="K4" s="270" t="s">
        <v>30</v>
      </c>
      <c r="L4" s="271"/>
      <c r="M4" s="271"/>
      <c r="N4" s="271"/>
      <c r="O4" s="271"/>
      <c r="P4" s="271"/>
    </row>
    <row r="5" spans="1:33" s="31" customFormat="1" ht="15" customHeight="1" x14ac:dyDescent="0.25">
      <c r="A5" s="34" t="s">
        <v>166</v>
      </c>
      <c r="B5" s="34" t="s">
        <v>46</v>
      </c>
      <c r="C5" s="39"/>
      <c r="D5" s="53" t="s">
        <v>23</v>
      </c>
      <c r="E5" s="53" t="s">
        <v>24</v>
      </c>
      <c r="F5" s="53" t="s">
        <v>25</v>
      </c>
      <c r="G5" s="53" t="s">
        <v>26</v>
      </c>
      <c r="H5" s="53" t="s">
        <v>27</v>
      </c>
      <c r="I5" s="53" t="s">
        <v>28</v>
      </c>
      <c r="J5" s="41"/>
      <c r="K5" s="53" t="s">
        <v>23</v>
      </c>
      <c r="L5" s="53" t="s">
        <v>24</v>
      </c>
      <c r="M5" s="53" t="s">
        <v>25</v>
      </c>
      <c r="N5" s="53" t="s">
        <v>26</v>
      </c>
      <c r="O5" s="53" t="s">
        <v>27</v>
      </c>
      <c r="P5" s="53" t="s">
        <v>28</v>
      </c>
    </row>
    <row r="6" spans="1:33" ht="30" customHeight="1" x14ac:dyDescent="0.35">
      <c r="A6" s="262" t="s">
        <v>163</v>
      </c>
      <c r="B6" s="33" t="s">
        <v>58</v>
      </c>
      <c r="C6" s="26"/>
      <c r="D6" s="171" t="s">
        <v>214</v>
      </c>
      <c r="E6" s="171" t="s">
        <v>215</v>
      </c>
      <c r="F6" s="171" t="s">
        <v>216</v>
      </c>
      <c r="G6" s="171" t="s">
        <v>217</v>
      </c>
      <c r="H6" s="171"/>
      <c r="I6" s="171"/>
      <c r="J6" s="172"/>
      <c r="K6" s="172" t="str">
        <f t="shared" ref="K6:P9" si="0">IF(D6="","","Y")</f>
        <v>Y</v>
      </c>
      <c r="L6" s="172" t="str">
        <f t="shared" si="0"/>
        <v>Y</v>
      </c>
      <c r="M6" s="172" t="str">
        <f t="shared" si="0"/>
        <v>Y</v>
      </c>
      <c r="N6" s="172" t="str">
        <f t="shared" si="0"/>
        <v>Y</v>
      </c>
      <c r="O6" s="172" t="str">
        <f t="shared" si="0"/>
        <v/>
      </c>
      <c r="P6" s="172" t="str">
        <f t="shared" si="0"/>
        <v/>
      </c>
      <c r="Q6" s="9"/>
      <c r="R6" s="9"/>
      <c r="S6" s="9"/>
      <c r="T6" s="9"/>
      <c r="U6" s="9"/>
      <c r="V6" s="9"/>
      <c r="W6" s="9"/>
      <c r="X6" s="9"/>
      <c r="Y6" s="9"/>
      <c r="Z6" s="9"/>
      <c r="AA6" s="9"/>
      <c r="AB6" s="9"/>
      <c r="AC6" s="9"/>
      <c r="AD6" s="9"/>
      <c r="AE6" s="9"/>
      <c r="AF6" s="9"/>
      <c r="AG6" s="9"/>
    </row>
    <row r="7" spans="1:33" ht="30" customHeight="1" x14ac:dyDescent="0.35">
      <c r="A7" s="263"/>
      <c r="B7" s="33" t="s">
        <v>57</v>
      </c>
      <c r="C7" s="26"/>
      <c r="D7" s="171" t="s">
        <v>218</v>
      </c>
      <c r="E7" s="171"/>
      <c r="F7" s="171"/>
      <c r="G7" s="171"/>
      <c r="H7" s="171"/>
      <c r="I7" s="171"/>
      <c r="J7" s="172"/>
      <c r="K7" s="172" t="str">
        <f t="shared" si="0"/>
        <v>Y</v>
      </c>
      <c r="L7" s="172" t="str">
        <f t="shared" si="0"/>
        <v/>
      </c>
      <c r="M7" s="172" t="str">
        <f t="shared" si="0"/>
        <v/>
      </c>
      <c r="N7" s="172" t="str">
        <f t="shared" si="0"/>
        <v/>
      </c>
      <c r="O7" s="172" t="str">
        <f t="shared" si="0"/>
        <v/>
      </c>
      <c r="P7" s="172" t="str">
        <f t="shared" si="0"/>
        <v/>
      </c>
      <c r="Q7" s="9"/>
      <c r="R7" s="9"/>
      <c r="S7" s="9"/>
      <c r="T7" s="9"/>
      <c r="U7" s="9"/>
      <c r="V7" s="9"/>
      <c r="W7" s="9"/>
      <c r="X7" s="9"/>
      <c r="Y7" s="9"/>
      <c r="Z7" s="9"/>
      <c r="AA7" s="9"/>
      <c r="AB7" s="9"/>
      <c r="AC7" s="9"/>
      <c r="AD7" s="9"/>
      <c r="AE7" s="9"/>
      <c r="AF7" s="9"/>
      <c r="AG7" s="9"/>
    </row>
    <row r="8" spans="1:33" ht="30" customHeight="1" x14ac:dyDescent="0.35">
      <c r="A8" s="263"/>
      <c r="B8" s="33" t="s">
        <v>56</v>
      </c>
      <c r="C8" s="26"/>
      <c r="D8" s="171" t="s">
        <v>219</v>
      </c>
      <c r="E8" s="171" t="s">
        <v>220</v>
      </c>
      <c r="F8" s="171" t="s">
        <v>221</v>
      </c>
      <c r="G8" s="171" t="s">
        <v>222</v>
      </c>
      <c r="H8" s="171"/>
      <c r="I8" s="171"/>
      <c r="J8" s="172"/>
      <c r="K8" s="172" t="str">
        <f t="shared" si="0"/>
        <v>Y</v>
      </c>
      <c r="L8" s="172" t="str">
        <f t="shared" si="0"/>
        <v>Y</v>
      </c>
      <c r="M8" s="172" t="str">
        <f t="shared" si="0"/>
        <v>Y</v>
      </c>
      <c r="N8" s="172" t="str">
        <f t="shared" si="0"/>
        <v>Y</v>
      </c>
      <c r="O8" s="172" t="str">
        <f t="shared" si="0"/>
        <v/>
      </c>
      <c r="P8" s="172" t="str">
        <f t="shared" si="0"/>
        <v/>
      </c>
      <c r="Q8" s="9"/>
      <c r="R8" s="9"/>
      <c r="S8" s="9"/>
      <c r="T8" s="9"/>
      <c r="U8" s="9"/>
      <c r="V8" s="9"/>
      <c r="W8" s="9"/>
      <c r="X8" s="9"/>
      <c r="Y8" s="9"/>
      <c r="Z8" s="9"/>
      <c r="AA8" s="9"/>
      <c r="AB8" s="9"/>
      <c r="AC8" s="9"/>
      <c r="AD8" s="9"/>
      <c r="AE8" s="9"/>
      <c r="AF8" s="9"/>
      <c r="AG8" s="9"/>
    </row>
    <row r="9" spans="1:33" ht="30" customHeight="1" x14ac:dyDescent="0.35">
      <c r="A9" s="264"/>
      <c r="B9" s="33" t="s">
        <v>55</v>
      </c>
      <c r="C9" s="26"/>
      <c r="D9" s="171" t="s">
        <v>223</v>
      </c>
      <c r="E9" s="171" t="s">
        <v>224</v>
      </c>
      <c r="F9" s="171" t="s">
        <v>225</v>
      </c>
      <c r="G9" s="171" t="s">
        <v>226</v>
      </c>
      <c r="H9" s="171" t="s">
        <v>227</v>
      </c>
      <c r="I9" s="171" t="s">
        <v>228</v>
      </c>
      <c r="J9" s="172"/>
      <c r="K9" s="172" t="str">
        <f t="shared" si="0"/>
        <v>Y</v>
      </c>
      <c r="L9" s="172" t="str">
        <f t="shared" si="0"/>
        <v>Y</v>
      </c>
      <c r="M9" s="172" t="str">
        <f t="shared" si="0"/>
        <v>Y</v>
      </c>
      <c r="N9" s="172" t="str">
        <f t="shared" si="0"/>
        <v>Y</v>
      </c>
      <c r="O9" s="172" t="str">
        <f t="shared" si="0"/>
        <v>Y</v>
      </c>
      <c r="P9" s="172" t="str">
        <f t="shared" si="0"/>
        <v>Y</v>
      </c>
      <c r="Q9" s="9"/>
      <c r="R9" s="9"/>
      <c r="S9" s="9"/>
      <c r="T9" s="9"/>
      <c r="U9" s="9"/>
      <c r="V9" s="9"/>
      <c r="W9" s="9"/>
      <c r="X9" s="9"/>
      <c r="Y9" s="9"/>
      <c r="Z9" s="9"/>
      <c r="AA9" s="9"/>
      <c r="AB9" s="9"/>
      <c r="AC9" s="9"/>
      <c r="AD9" s="9"/>
      <c r="AE9" s="9"/>
      <c r="AF9" s="9"/>
      <c r="AG9" s="9"/>
    </row>
    <row r="10" spans="1:33" ht="30" customHeight="1" x14ac:dyDescent="0.35">
      <c r="A10" s="11"/>
      <c r="B10" s="12"/>
      <c r="C10" s="27"/>
      <c r="D10" s="235" t="s">
        <v>89</v>
      </c>
      <c r="E10" s="232"/>
      <c r="F10" s="232"/>
      <c r="G10" s="232"/>
      <c r="H10" s="232"/>
      <c r="I10" s="233"/>
      <c r="J10" s="173"/>
      <c r="K10" s="174">
        <f t="shared" ref="K10:P10" si="1">COUNTIF(K6:K9,"Y")</f>
        <v>4</v>
      </c>
      <c r="L10" s="174">
        <f t="shared" si="1"/>
        <v>3</v>
      </c>
      <c r="M10" s="174">
        <f t="shared" si="1"/>
        <v>3</v>
      </c>
      <c r="N10" s="174">
        <f t="shared" si="1"/>
        <v>3</v>
      </c>
      <c r="O10" s="174">
        <f t="shared" si="1"/>
        <v>1</v>
      </c>
      <c r="P10" s="174">
        <f t="shared" si="1"/>
        <v>1</v>
      </c>
      <c r="Q10" s="9"/>
      <c r="R10" s="9"/>
      <c r="S10" s="9"/>
      <c r="T10" s="9"/>
      <c r="U10" s="9"/>
      <c r="V10" s="9"/>
      <c r="W10" s="9"/>
      <c r="X10" s="9"/>
      <c r="Y10" s="9"/>
      <c r="Z10" s="9"/>
      <c r="AA10" s="9"/>
      <c r="AB10" s="9"/>
      <c r="AC10" s="9"/>
      <c r="AD10" s="9"/>
      <c r="AE10" s="9"/>
      <c r="AF10" s="9"/>
      <c r="AG10" s="9"/>
    </row>
    <row r="11" spans="1:33" ht="30" customHeight="1" x14ac:dyDescent="0.35">
      <c r="A11" s="20"/>
      <c r="B11" s="21"/>
      <c r="C11" s="28"/>
      <c r="D11" s="231" t="s">
        <v>90</v>
      </c>
      <c r="E11" s="232"/>
      <c r="F11" s="232"/>
      <c r="G11" s="232"/>
      <c r="H11" s="232"/>
      <c r="I11" s="233"/>
      <c r="J11" s="173"/>
      <c r="K11" s="175">
        <f t="shared" ref="K11:P11" si="2">100*K10/4</f>
        <v>100</v>
      </c>
      <c r="L11" s="175">
        <f t="shared" si="2"/>
        <v>75</v>
      </c>
      <c r="M11" s="175">
        <f t="shared" si="2"/>
        <v>75</v>
      </c>
      <c r="N11" s="175">
        <f t="shared" si="2"/>
        <v>75</v>
      </c>
      <c r="O11" s="175">
        <f t="shared" si="2"/>
        <v>25</v>
      </c>
      <c r="P11" s="175">
        <f t="shared" si="2"/>
        <v>25</v>
      </c>
      <c r="Q11" s="9"/>
      <c r="R11" s="9"/>
      <c r="S11" s="9"/>
      <c r="T11" s="9"/>
      <c r="U11" s="9"/>
      <c r="V11" s="9"/>
      <c r="W11" s="9"/>
      <c r="X11" s="9"/>
      <c r="Y11" s="9"/>
      <c r="Z11" s="9"/>
      <c r="AA11" s="9"/>
      <c r="AB11" s="9"/>
      <c r="AC11" s="9"/>
      <c r="AD11" s="9"/>
      <c r="AE11" s="9"/>
      <c r="AF11" s="9"/>
      <c r="AG11" s="9"/>
    </row>
    <row r="12" spans="1:33" ht="30" customHeight="1" x14ac:dyDescent="0.35">
      <c r="A12" s="20"/>
      <c r="B12" s="21"/>
      <c r="C12" s="28"/>
      <c r="D12" s="234" t="s">
        <v>88</v>
      </c>
      <c r="E12" s="232"/>
      <c r="F12" s="232"/>
      <c r="G12" s="232"/>
      <c r="H12" s="232"/>
      <c r="I12" s="233"/>
      <c r="J12" s="173"/>
      <c r="K12" s="176">
        <f t="shared" ref="K12:P12" si="3">IF((K11&gt;=66),3,IF(AND(K11&gt;=33,K11&lt;66),2,IF(AND(K11&gt;0,K11&lt;33),1,"-")))</f>
        <v>3</v>
      </c>
      <c r="L12" s="176">
        <f t="shared" si="3"/>
        <v>3</v>
      </c>
      <c r="M12" s="176">
        <f t="shared" si="3"/>
        <v>3</v>
      </c>
      <c r="N12" s="176">
        <f t="shared" si="3"/>
        <v>3</v>
      </c>
      <c r="O12" s="176">
        <f t="shared" si="3"/>
        <v>1</v>
      </c>
      <c r="P12" s="176">
        <f t="shared" si="3"/>
        <v>1</v>
      </c>
      <c r="Q12" s="9"/>
      <c r="R12" s="9"/>
      <c r="S12" s="9"/>
      <c r="T12" s="9"/>
      <c r="U12" s="9"/>
      <c r="V12" s="9"/>
      <c r="W12" s="9"/>
      <c r="X12" s="9"/>
      <c r="Y12" s="9"/>
      <c r="Z12" s="9"/>
      <c r="AA12" s="9"/>
      <c r="AB12" s="9"/>
      <c r="AC12" s="9"/>
      <c r="AD12" s="9"/>
      <c r="AE12" s="9"/>
      <c r="AF12" s="9"/>
      <c r="AG12" s="9"/>
    </row>
    <row r="13" spans="1:33" ht="30" customHeight="1" x14ac:dyDescent="0.35">
      <c r="A13" s="242" t="s">
        <v>83</v>
      </c>
      <c r="B13" s="2" t="s">
        <v>54</v>
      </c>
      <c r="C13" s="29"/>
      <c r="D13" s="171" t="s">
        <v>229</v>
      </c>
      <c r="E13" s="171" t="s">
        <v>230</v>
      </c>
      <c r="F13" s="171" t="s">
        <v>217</v>
      </c>
      <c r="G13" s="171" t="s">
        <v>230</v>
      </c>
      <c r="H13" s="171" t="s">
        <v>227</v>
      </c>
      <c r="I13" s="171" t="s">
        <v>231</v>
      </c>
      <c r="J13" s="172"/>
      <c r="K13" s="172" t="str">
        <f t="shared" ref="K13:P16" si="4">IF(D13="","","Y")</f>
        <v>Y</v>
      </c>
      <c r="L13" s="172" t="str">
        <f t="shared" si="4"/>
        <v>Y</v>
      </c>
      <c r="M13" s="172" t="str">
        <f t="shared" si="4"/>
        <v>Y</v>
      </c>
      <c r="N13" s="172" t="str">
        <f t="shared" si="4"/>
        <v>Y</v>
      </c>
      <c r="O13" s="172" t="str">
        <f t="shared" si="4"/>
        <v>Y</v>
      </c>
      <c r="P13" s="172" t="str">
        <f t="shared" si="4"/>
        <v>Y</v>
      </c>
      <c r="Q13" s="9"/>
      <c r="R13" s="9"/>
      <c r="S13" s="9"/>
      <c r="T13" s="9"/>
      <c r="U13" s="9"/>
      <c r="V13" s="9"/>
      <c r="W13" s="9"/>
      <c r="X13" s="9"/>
      <c r="Y13" s="9"/>
      <c r="Z13" s="9"/>
      <c r="AA13" s="9"/>
      <c r="AB13" s="9"/>
      <c r="AC13" s="9"/>
      <c r="AD13" s="9"/>
      <c r="AE13" s="9"/>
      <c r="AF13" s="9"/>
      <c r="AG13" s="9"/>
    </row>
    <row r="14" spans="1:33" ht="30" customHeight="1" x14ac:dyDescent="0.35">
      <c r="A14" s="243"/>
      <c r="B14" s="2" t="s">
        <v>53</v>
      </c>
      <c r="C14" s="29"/>
      <c r="D14" s="171" t="s">
        <v>232</v>
      </c>
      <c r="E14" s="171" t="s">
        <v>219</v>
      </c>
      <c r="F14" s="171" t="s">
        <v>226</v>
      </c>
      <c r="G14" s="171" t="s">
        <v>233</v>
      </c>
      <c r="H14" s="171" t="s">
        <v>227</v>
      </c>
      <c r="I14" s="171" t="s">
        <v>234</v>
      </c>
      <c r="J14" s="172"/>
      <c r="K14" s="172" t="str">
        <f t="shared" si="4"/>
        <v>Y</v>
      </c>
      <c r="L14" s="172" t="str">
        <f t="shared" si="4"/>
        <v>Y</v>
      </c>
      <c r="M14" s="172" t="str">
        <f t="shared" si="4"/>
        <v>Y</v>
      </c>
      <c r="N14" s="172" t="str">
        <f t="shared" si="4"/>
        <v>Y</v>
      </c>
      <c r="O14" s="172" t="str">
        <f t="shared" si="4"/>
        <v>Y</v>
      </c>
      <c r="P14" s="172" t="str">
        <f t="shared" si="4"/>
        <v>Y</v>
      </c>
      <c r="Q14" s="9"/>
      <c r="R14" s="9"/>
      <c r="S14" s="9"/>
      <c r="T14" s="9"/>
      <c r="U14" s="9"/>
      <c r="V14" s="9"/>
      <c r="W14" s="9"/>
      <c r="X14" s="9"/>
      <c r="Y14" s="9"/>
      <c r="Z14" s="9"/>
      <c r="AA14" s="9"/>
      <c r="AB14" s="9"/>
      <c r="AC14" s="9"/>
      <c r="AD14" s="9"/>
      <c r="AE14" s="9"/>
      <c r="AF14" s="9"/>
      <c r="AG14" s="9"/>
    </row>
    <row r="15" spans="1:33" ht="30" customHeight="1" x14ac:dyDescent="0.35">
      <c r="A15" s="243"/>
      <c r="B15" s="2" t="s">
        <v>52</v>
      </c>
      <c r="C15" s="29"/>
      <c r="D15" s="171" t="s">
        <v>235</v>
      </c>
      <c r="E15" s="171" t="s">
        <v>236</v>
      </c>
      <c r="F15" s="171" t="s">
        <v>237</v>
      </c>
      <c r="G15" s="171"/>
      <c r="H15" s="171"/>
      <c r="I15" s="171" t="s">
        <v>238</v>
      </c>
      <c r="J15" s="172"/>
      <c r="K15" s="172" t="str">
        <f t="shared" si="4"/>
        <v>Y</v>
      </c>
      <c r="L15" s="172" t="str">
        <f t="shared" si="4"/>
        <v>Y</v>
      </c>
      <c r="M15" s="172" t="str">
        <f t="shared" si="4"/>
        <v>Y</v>
      </c>
      <c r="N15" s="172" t="str">
        <f t="shared" si="4"/>
        <v/>
      </c>
      <c r="O15" s="172" t="str">
        <f t="shared" si="4"/>
        <v/>
      </c>
      <c r="P15" s="172" t="str">
        <f t="shared" si="4"/>
        <v>Y</v>
      </c>
      <c r="Q15" s="9"/>
      <c r="R15" s="9"/>
      <c r="S15" s="9"/>
      <c r="T15" s="9"/>
      <c r="U15" s="9"/>
      <c r="V15" s="9"/>
      <c r="W15" s="9"/>
      <c r="X15" s="9"/>
      <c r="Y15" s="9"/>
      <c r="Z15" s="9"/>
      <c r="AA15" s="9"/>
      <c r="AB15" s="9"/>
      <c r="AC15" s="9"/>
      <c r="AD15" s="9"/>
      <c r="AE15" s="9"/>
      <c r="AF15" s="9"/>
      <c r="AG15" s="9"/>
    </row>
    <row r="16" spans="1:33" ht="30" customHeight="1" x14ac:dyDescent="0.35">
      <c r="A16" s="244"/>
      <c r="B16" s="13" t="s">
        <v>51</v>
      </c>
      <c r="C16" s="26"/>
      <c r="D16" s="171"/>
      <c r="E16" s="171" t="s">
        <v>239</v>
      </c>
      <c r="F16" s="171"/>
      <c r="G16" s="171"/>
      <c r="H16" s="171"/>
      <c r="I16" s="171" t="s">
        <v>240</v>
      </c>
      <c r="J16" s="172"/>
      <c r="K16" s="172" t="str">
        <f t="shared" si="4"/>
        <v/>
      </c>
      <c r="L16" s="172" t="str">
        <f t="shared" si="4"/>
        <v>Y</v>
      </c>
      <c r="M16" s="172" t="str">
        <f t="shared" si="4"/>
        <v/>
      </c>
      <c r="N16" s="172" t="str">
        <f t="shared" si="4"/>
        <v/>
      </c>
      <c r="O16" s="172" t="str">
        <f t="shared" si="4"/>
        <v/>
      </c>
      <c r="P16" s="172" t="str">
        <f t="shared" si="4"/>
        <v>Y</v>
      </c>
      <c r="Q16" s="9"/>
      <c r="R16" s="9"/>
      <c r="S16" s="9"/>
      <c r="T16" s="9"/>
      <c r="U16" s="9"/>
      <c r="V16" s="9"/>
      <c r="W16" s="9"/>
      <c r="X16" s="9"/>
      <c r="Y16" s="9"/>
      <c r="Z16" s="9"/>
      <c r="AA16" s="9"/>
      <c r="AB16" s="9"/>
      <c r="AC16" s="9"/>
      <c r="AD16" s="9"/>
      <c r="AE16" s="9"/>
      <c r="AF16" s="9"/>
      <c r="AG16" s="9"/>
    </row>
    <row r="17" spans="1:33" ht="30" customHeight="1" x14ac:dyDescent="0.35">
      <c r="A17" s="11"/>
      <c r="B17" s="12"/>
      <c r="C17" s="27"/>
      <c r="D17" s="235" t="s">
        <v>91</v>
      </c>
      <c r="E17" s="232"/>
      <c r="F17" s="232"/>
      <c r="G17" s="232"/>
      <c r="H17" s="232"/>
      <c r="I17" s="233"/>
      <c r="J17" s="173"/>
      <c r="K17" s="174">
        <f t="shared" ref="K17:P17" si="5">COUNTIF(K13:K16,"Y")</f>
        <v>3</v>
      </c>
      <c r="L17" s="174">
        <f t="shared" si="5"/>
        <v>4</v>
      </c>
      <c r="M17" s="174">
        <f t="shared" si="5"/>
        <v>3</v>
      </c>
      <c r="N17" s="174">
        <f t="shared" si="5"/>
        <v>2</v>
      </c>
      <c r="O17" s="174">
        <f t="shared" si="5"/>
        <v>2</v>
      </c>
      <c r="P17" s="174">
        <f t="shared" si="5"/>
        <v>4</v>
      </c>
      <c r="Q17" s="9"/>
      <c r="R17" s="9"/>
      <c r="S17" s="9"/>
      <c r="T17" s="9"/>
      <c r="U17" s="9"/>
      <c r="V17" s="9"/>
      <c r="W17" s="9"/>
      <c r="X17" s="9"/>
      <c r="Y17" s="9"/>
      <c r="Z17" s="9"/>
      <c r="AA17" s="9"/>
      <c r="AB17" s="9"/>
      <c r="AC17" s="9"/>
      <c r="AD17" s="9"/>
      <c r="AE17" s="9"/>
      <c r="AF17" s="9"/>
      <c r="AG17" s="9"/>
    </row>
    <row r="18" spans="1:33" ht="30" customHeight="1" x14ac:dyDescent="0.35">
      <c r="A18" s="20"/>
      <c r="B18" s="21"/>
      <c r="C18" s="28"/>
      <c r="D18" s="231" t="s">
        <v>92</v>
      </c>
      <c r="E18" s="232"/>
      <c r="F18" s="232"/>
      <c r="G18" s="232"/>
      <c r="H18" s="232"/>
      <c r="I18" s="233"/>
      <c r="J18" s="173"/>
      <c r="K18" s="175">
        <f t="shared" ref="K18:P18" si="6">100*K17/4</f>
        <v>75</v>
      </c>
      <c r="L18" s="175">
        <f t="shared" si="6"/>
        <v>100</v>
      </c>
      <c r="M18" s="175">
        <f t="shared" si="6"/>
        <v>75</v>
      </c>
      <c r="N18" s="175">
        <f t="shared" si="6"/>
        <v>50</v>
      </c>
      <c r="O18" s="175">
        <f t="shared" si="6"/>
        <v>50</v>
      </c>
      <c r="P18" s="175">
        <f t="shared" si="6"/>
        <v>100</v>
      </c>
      <c r="Q18" s="9"/>
      <c r="R18" s="9"/>
      <c r="S18" s="9"/>
      <c r="T18" s="9"/>
      <c r="U18" s="9"/>
      <c r="V18" s="9"/>
      <c r="W18" s="9"/>
      <c r="X18" s="9"/>
      <c r="Y18" s="9"/>
      <c r="Z18" s="9"/>
      <c r="AA18" s="9"/>
      <c r="AB18" s="9"/>
      <c r="AC18" s="9"/>
      <c r="AD18" s="9"/>
      <c r="AE18" s="9"/>
      <c r="AF18" s="9"/>
      <c r="AG18" s="9"/>
    </row>
    <row r="19" spans="1:33" ht="30" customHeight="1" x14ac:dyDescent="0.35">
      <c r="A19" s="20"/>
      <c r="B19" s="21"/>
      <c r="C19" s="28"/>
      <c r="D19" s="234" t="s">
        <v>93</v>
      </c>
      <c r="E19" s="232"/>
      <c r="F19" s="232"/>
      <c r="G19" s="232"/>
      <c r="H19" s="232"/>
      <c r="I19" s="233"/>
      <c r="J19" s="173"/>
      <c r="K19" s="176">
        <f t="shared" ref="K19:P19" si="7">IF((K18&gt;=66),3,IF(AND(K18&gt;=33,K18&lt;66),2,IF(AND(K18&gt;0,K18&lt;33),1,"-")))</f>
        <v>3</v>
      </c>
      <c r="L19" s="176">
        <f t="shared" si="7"/>
        <v>3</v>
      </c>
      <c r="M19" s="176">
        <f t="shared" si="7"/>
        <v>3</v>
      </c>
      <c r="N19" s="176">
        <f t="shared" si="7"/>
        <v>2</v>
      </c>
      <c r="O19" s="176">
        <f t="shared" si="7"/>
        <v>2</v>
      </c>
      <c r="P19" s="176">
        <f t="shared" si="7"/>
        <v>3</v>
      </c>
      <c r="Q19" s="9"/>
      <c r="R19" s="9"/>
      <c r="S19" s="9"/>
      <c r="T19" s="9"/>
      <c r="U19" s="9"/>
      <c r="V19" s="9"/>
      <c r="W19" s="9"/>
      <c r="X19" s="9"/>
      <c r="Y19" s="9"/>
      <c r="Z19" s="9"/>
      <c r="AA19" s="9"/>
      <c r="AB19" s="9"/>
      <c r="AC19" s="9"/>
      <c r="AD19" s="9"/>
      <c r="AE19" s="9"/>
      <c r="AF19" s="9"/>
      <c r="AG19" s="9"/>
    </row>
    <row r="20" spans="1:33" ht="30" customHeight="1" x14ac:dyDescent="0.35">
      <c r="A20" s="257" t="s">
        <v>84</v>
      </c>
      <c r="B20" s="3" t="s">
        <v>50</v>
      </c>
      <c r="C20" s="29"/>
      <c r="D20" s="171"/>
      <c r="E20" s="171" t="s">
        <v>219</v>
      </c>
      <c r="F20" s="171" t="s">
        <v>217</v>
      </c>
      <c r="G20" s="171" t="s">
        <v>241</v>
      </c>
      <c r="H20" s="171" t="s">
        <v>227</v>
      </c>
      <c r="I20" s="171" t="s">
        <v>242</v>
      </c>
      <c r="J20" s="172"/>
      <c r="K20" s="172" t="str">
        <f t="shared" ref="K20:P23" si="8">IF(D20="","","Y")</f>
        <v/>
      </c>
      <c r="L20" s="172" t="str">
        <f t="shared" si="8"/>
        <v>Y</v>
      </c>
      <c r="M20" s="172" t="str">
        <f t="shared" si="8"/>
        <v>Y</v>
      </c>
      <c r="N20" s="172" t="str">
        <f t="shared" si="8"/>
        <v>Y</v>
      </c>
      <c r="O20" s="172" t="str">
        <f t="shared" si="8"/>
        <v>Y</v>
      </c>
      <c r="P20" s="172" t="str">
        <f t="shared" si="8"/>
        <v>Y</v>
      </c>
      <c r="Q20" s="9"/>
      <c r="R20" s="9"/>
      <c r="S20" s="9"/>
      <c r="T20" s="9"/>
      <c r="U20" s="9"/>
      <c r="V20" s="9"/>
      <c r="W20" s="9"/>
      <c r="X20" s="9"/>
      <c r="Y20" s="9"/>
      <c r="Z20" s="9"/>
      <c r="AA20" s="9"/>
      <c r="AB20" s="9"/>
      <c r="AC20" s="9"/>
      <c r="AD20" s="9"/>
      <c r="AE20" s="9"/>
      <c r="AF20" s="9"/>
      <c r="AG20" s="9"/>
    </row>
    <row r="21" spans="1:33" ht="30" customHeight="1" x14ac:dyDescent="0.35">
      <c r="A21" s="258"/>
      <c r="B21" s="3" t="s">
        <v>49</v>
      </c>
      <c r="C21" s="29"/>
      <c r="D21" s="171" t="s">
        <v>243</v>
      </c>
      <c r="E21" s="171" t="s">
        <v>244</v>
      </c>
      <c r="F21" s="171" t="s">
        <v>226</v>
      </c>
      <c r="G21" s="171"/>
      <c r="H21" s="171"/>
      <c r="I21" s="171"/>
      <c r="J21" s="172"/>
      <c r="K21" s="172" t="str">
        <f t="shared" si="8"/>
        <v>Y</v>
      </c>
      <c r="L21" s="172" t="str">
        <f t="shared" si="8"/>
        <v>Y</v>
      </c>
      <c r="M21" s="172" t="str">
        <f t="shared" si="8"/>
        <v>Y</v>
      </c>
      <c r="N21" s="172" t="str">
        <f t="shared" si="8"/>
        <v/>
      </c>
      <c r="O21" s="172" t="str">
        <f t="shared" si="8"/>
        <v/>
      </c>
      <c r="P21" s="172" t="str">
        <f t="shared" si="8"/>
        <v/>
      </c>
      <c r="Q21" s="9"/>
      <c r="R21" s="9"/>
      <c r="S21" s="9"/>
      <c r="T21" s="9"/>
      <c r="U21" s="9"/>
      <c r="V21" s="9"/>
      <c r="W21" s="9"/>
      <c r="X21" s="9"/>
      <c r="Y21" s="9"/>
      <c r="Z21" s="9"/>
      <c r="AA21" s="9"/>
      <c r="AB21" s="9"/>
      <c r="AC21" s="9"/>
      <c r="AD21" s="9"/>
      <c r="AE21" s="9"/>
      <c r="AF21" s="9"/>
      <c r="AG21" s="9"/>
    </row>
    <row r="22" spans="1:33" ht="30" customHeight="1" x14ac:dyDescent="0.35">
      <c r="A22" s="258"/>
      <c r="B22" s="3" t="s">
        <v>48</v>
      </c>
      <c r="C22" s="29"/>
      <c r="D22" s="171" t="s">
        <v>245</v>
      </c>
      <c r="E22" s="171" t="s">
        <v>244</v>
      </c>
      <c r="F22" s="171" t="s">
        <v>246</v>
      </c>
      <c r="G22" s="171" t="s">
        <v>237</v>
      </c>
      <c r="H22" s="171" t="s">
        <v>227</v>
      </c>
      <c r="I22" s="171"/>
      <c r="J22" s="172"/>
      <c r="K22" s="172" t="str">
        <f t="shared" si="8"/>
        <v>Y</v>
      </c>
      <c r="L22" s="172" t="str">
        <f t="shared" si="8"/>
        <v>Y</v>
      </c>
      <c r="M22" s="172" t="str">
        <f t="shared" si="8"/>
        <v>Y</v>
      </c>
      <c r="N22" s="172" t="str">
        <f t="shared" si="8"/>
        <v>Y</v>
      </c>
      <c r="O22" s="172" t="str">
        <f t="shared" si="8"/>
        <v>Y</v>
      </c>
      <c r="P22" s="172" t="str">
        <f t="shared" si="8"/>
        <v/>
      </c>
      <c r="Q22" s="9"/>
      <c r="R22" s="9"/>
      <c r="S22" s="9"/>
      <c r="T22" s="9"/>
      <c r="U22" s="9"/>
      <c r="V22" s="9"/>
      <c r="W22" s="9"/>
      <c r="X22" s="9"/>
      <c r="Y22" s="9"/>
      <c r="Z22" s="9"/>
      <c r="AA22" s="9"/>
      <c r="AB22" s="9"/>
      <c r="AC22" s="9"/>
      <c r="AD22" s="9"/>
      <c r="AE22" s="9"/>
      <c r="AF22" s="9"/>
      <c r="AG22" s="9"/>
    </row>
    <row r="23" spans="1:33" ht="30" customHeight="1" x14ac:dyDescent="0.35">
      <c r="A23" s="259"/>
      <c r="B23" s="14" t="s">
        <v>47</v>
      </c>
      <c r="C23" s="26"/>
      <c r="D23" s="171"/>
      <c r="E23" s="171"/>
      <c r="F23" s="171"/>
      <c r="G23" s="171"/>
      <c r="H23" s="171"/>
      <c r="I23" s="171"/>
      <c r="J23" s="172"/>
      <c r="K23" s="172" t="str">
        <f t="shared" si="8"/>
        <v/>
      </c>
      <c r="L23" s="172" t="str">
        <f t="shared" si="8"/>
        <v/>
      </c>
      <c r="M23" s="172" t="str">
        <f t="shared" si="8"/>
        <v/>
      </c>
      <c r="N23" s="172" t="str">
        <f t="shared" si="8"/>
        <v/>
      </c>
      <c r="O23" s="172" t="str">
        <f t="shared" si="8"/>
        <v/>
      </c>
      <c r="P23" s="172" t="str">
        <f t="shared" si="8"/>
        <v/>
      </c>
      <c r="Q23" s="9"/>
      <c r="R23" s="9"/>
      <c r="S23" s="9"/>
      <c r="T23" s="9"/>
      <c r="U23" s="9"/>
      <c r="V23" s="9"/>
      <c r="W23" s="9"/>
      <c r="X23" s="9"/>
      <c r="Y23" s="9"/>
      <c r="Z23" s="9"/>
      <c r="AA23" s="9"/>
      <c r="AB23" s="9"/>
      <c r="AC23" s="9"/>
      <c r="AD23" s="9"/>
      <c r="AE23" s="9"/>
      <c r="AF23" s="9"/>
      <c r="AG23" s="9"/>
    </row>
    <row r="24" spans="1:33" ht="30" customHeight="1" x14ac:dyDescent="0.35">
      <c r="A24" s="15"/>
      <c r="B24" s="4"/>
      <c r="C24" s="30"/>
      <c r="D24" s="235" t="s">
        <v>94</v>
      </c>
      <c r="E24" s="232"/>
      <c r="F24" s="232"/>
      <c r="G24" s="232"/>
      <c r="H24" s="232"/>
      <c r="I24" s="233"/>
      <c r="J24" s="173"/>
      <c r="K24" s="174">
        <f t="shared" ref="K24:P24" si="9">COUNTIF(K20:K23,"Y")</f>
        <v>2</v>
      </c>
      <c r="L24" s="174">
        <f t="shared" si="9"/>
        <v>3</v>
      </c>
      <c r="M24" s="174">
        <f t="shared" si="9"/>
        <v>3</v>
      </c>
      <c r="N24" s="174">
        <f t="shared" si="9"/>
        <v>2</v>
      </c>
      <c r="O24" s="174">
        <f t="shared" si="9"/>
        <v>2</v>
      </c>
      <c r="P24" s="174">
        <f t="shared" si="9"/>
        <v>1</v>
      </c>
      <c r="Q24" s="9"/>
      <c r="R24" s="9"/>
      <c r="S24" s="9"/>
      <c r="T24" s="9"/>
      <c r="U24" s="9"/>
      <c r="V24" s="9"/>
      <c r="W24" s="9"/>
      <c r="X24" s="9"/>
      <c r="Y24" s="9"/>
      <c r="Z24" s="9"/>
      <c r="AA24" s="9"/>
      <c r="AB24" s="9"/>
      <c r="AC24" s="9"/>
      <c r="AD24" s="9"/>
      <c r="AE24" s="9"/>
      <c r="AF24" s="9"/>
      <c r="AG24" s="9"/>
    </row>
    <row r="25" spans="1:33" ht="30" customHeight="1" x14ac:dyDescent="0.35">
      <c r="A25" s="22"/>
      <c r="B25" s="4"/>
      <c r="C25" s="30"/>
      <c r="D25" s="231" t="s">
        <v>95</v>
      </c>
      <c r="E25" s="232"/>
      <c r="F25" s="232"/>
      <c r="G25" s="232"/>
      <c r="H25" s="232"/>
      <c r="I25" s="233"/>
      <c r="J25" s="173"/>
      <c r="K25" s="175">
        <f t="shared" ref="K25:P25" si="10">100*K24/4</f>
        <v>50</v>
      </c>
      <c r="L25" s="175">
        <f t="shared" si="10"/>
        <v>75</v>
      </c>
      <c r="M25" s="175">
        <f t="shared" si="10"/>
        <v>75</v>
      </c>
      <c r="N25" s="175">
        <f t="shared" si="10"/>
        <v>50</v>
      </c>
      <c r="O25" s="175">
        <f t="shared" si="10"/>
        <v>50</v>
      </c>
      <c r="P25" s="175">
        <f t="shared" si="10"/>
        <v>25</v>
      </c>
      <c r="Q25" s="9"/>
      <c r="R25" s="9"/>
      <c r="S25" s="9"/>
      <c r="T25" s="9"/>
      <c r="U25" s="9"/>
      <c r="V25" s="9"/>
      <c r="W25" s="9"/>
      <c r="X25" s="9"/>
      <c r="Y25" s="9"/>
      <c r="Z25" s="9"/>
      <c r="AA25" s="9"/>
      <c r="AB25" s="9"/>
      <c r="AC25" s="9"/>
      <c r="AD25" s="9"/>
      <c r="AE25" s="9"/>
      <c r="AF25" s="9"/>
      <c r="AG25" s="9"/>
    </row>
    <row r="26" spans="1:33" ht="30" customHeight="1" x14ac:dyDescent="0.35">
      <c r="A26" s="22"/>
      <c r="B26" s="4"/>
      <c r="C26" s="30"/>
      <c r="D26" s="234" t="s">
        <v>96</v>
      </c>
      <c r="E26" s="232"/>
      <c r="F26" s="232"/>
      <c r="G26" s="232"/>
      <c r="H26" s="232"/>
      <c r="I26" s="233"/>
      <c r="J26" s="173"/>
      <c r="K26" s="176">
        <f t="shared" ref="K26:P26" si="11">IF((K25&gt;=66),3,IF(AND(K25&gt;=33,K25&lt;66),2,IF(AND(K25&gt;0,K25&lt;33),1,"-")))</f>
        <v>2</v>
      </c>
      <c r="L26" s="176">
        <f t="shared" si="11"/>
        <v>3</v>
      </c>
      <c r="M26" s="176">
        <f t="shared" si="11"/>
        <v>3</v>
      </c>
      <c r="N26" s="176">
        <f t="shared" si="11"/>
        <v>2</v>
      </c>
      <c r="O26" s="176">
        <f t="shared" si="11"/>
        <v>2</v>
      </c>
      <c r="P26" s="176">
        <f t="shared" si="11"/>
        <v>1</v>
      </c>
      <c r="Q26" s="9"/>
      <c r="R26" s="9"/>
      <c r="S26" s="9"/>
      <c r="T26" s="9"/>
      <c r="U26" s="9"/>
      <c r="V26" s="9"/>
      <c r="W26" s="9"/>
      <c r="X26" s="9"/>
      <c r="Y26" s="9"/>
      <c r="Z26" s="9"/>
      <c r="AA26" s="9"/>
      <c r="AB26" s="9"/>
      <c r="AC26" s="9"/>
      <c r="AD26" s="9"/>
      <c r="AE26" s="9"/>
      <c r="AF26" s="9"/>
      <c r="AG26" s="9"/>
    </row>
    <row r="27" spans="1:33" ht="30" customHeight="1" x14ac:dyDescent="0.35">
      <c r="A27" s="239" t="s">
        <v>31</v>
      </c>
      <c r="B27" s="5" t="s">
        <v>59</v>
      </c>
      <c r="C27" s="29"/>
      <c r="D27" s="171" t="s">
        <v>247</v>
      </c>
      <c r="E27" s="171" t="s">
        <v>248</v>
      </c>
      <c r="F27" s="171"/>
      <c r="G27" s="171"/>
      <c r="H27" s="171"/>
      <c r="I27" s="171"/>
      <c r="J27" s="172"/>
      <c r="K27" s="172" t="str">
        <f t="shared" ref="K27:P29" si="12">IF(D27="","","Y")</f>
        <v>Y</v>
      </c>
      <c r="L27" s="172" t="str">
        <f t="shared" si="12"/>
        <v>Y</v>
      </c>
      <c r="M27" s="172" t="str">
        <f t="shared" si="12"/>
        <v/>
      </c>
      <c r="N27" s="172" t="str">
        <f t="shared" si="12"/>
        <v/>
      </c>
      <c r="O27" s="172" t="str">
        <f t="shared" si="12"/>
        <v/>
      </c>
      <c r="P27" s="172" t="str">
        <f t="shared" si="12"/>
        <v/>
      </c>
      <c r="Q27" s="9"/>
      <c r="R27" s="9"/>
      <c r="S27" s="9"/>
      <c r="T27" s="9"/>
      <c r="U27" s="9"/>
      <c r="V27" s="9"/>
      <c r="W27" s="9"/>
      <c r="X27" s="9"/>
      <c r="Y27" s="9"/>
      <c r="Z27" s="9"/>
      <c r="AA27" s="9"/>
      <c r="AB27" s="9"/>
      <c r="AC27" s="9"/>
      <c r="AD27" s="9"/>
      <c r="AE27" s="9"/>
      <c r="AF27" s="9"/>
      <c r="AG27" s="9"/>
    </row>
    <row r="28" spans="1:33" ht="30" customHeight="1" x14ac:dyDescent="0.35">
      <c r="A28" s="240"/>
      <c r="B28" s="16" t="s">
        <v>60</v>
      </c>
      <c r="C28" s="26"/>
      <c r="D28" s="171" t="s">
        <v>249</v>
      </c>
      <c r="E28" s="171" t="s">
        <v>250</v>
      </c>
      <c r="F28" s="171"/>
      <c r="G28" s="171"/>
      <c r="H28" s="171" t="s">
        <v>251</v>
      </c>
      <c r="I28" s="171" t="s">
        <v>242</v>
      </c>
      <c r="J28" s="172"/>
      <c r="K28" s="172" t="str">
        <f t="shared" si="12"/>
        <v>Y</v>
      </c>
      <c r="L28" s="172" t="str">
        <f t="shared" si="12"/>
        <v>Y</v>
      </c>
      <c r="M28" s="172" t="str">
        <f t="shared" si="12"/>
        <v/>
      </c>
      <c r="N28" s="172" t="str">
        <f t="shared" si="12"/>
        <v/>
      </c>
      <c r="O28" s="172" t="str">
        <f t="shared" si="12"/>
        <v>Y</v>
      </c>
      <c r="P28" s="172" t="str">
        <f t="shared" si="12"/>
        <v>Y</v>
      </c>
      <c r="Q28" s="9"/>
      <c r="R28" s="9"/>
      <c r="S28" s="9"/>
      <c r="T28" s="9"/>
      <c r="U28" s="9"/>
      <c r="V28" s="9"/>
      <c r="W28" s="9"/>
      <c r="X28" s="9"/>
      <c r="Y28" s="9"/>
      <c r="Z28" s="9"/>
      <c r="AA28" s="9"/>
      <c r="AB28" s="9"/>
      <c r="AC28" s="9"/>
      <c r="AD28" s="9"/>
      <c r="AE28" s="9"/>
      <c r="AF28" s="9"/>
      <c r="AG28" s="9"/>
    </row>
    <row r="29" spans="1:33" ht="30" customHeight="1" x14ac:dyDescent="0.35">
      <c r="A29" s="241"/>
      <c r="B29" s="16" t="s">
        <v>61</v>
      </c>
      <c r="C29" s="26"/>
      <c r="D29" s="171"/>
      <c r="E29" s="171"/>
      <c r="F29" s="171" t="s">
        <v>252</v>
      </c>
      <c r="G29" s="171" t="s">
        <v>253</v>
      </c>
      <c r="H29" s="171"/>
      <c r="I29" s="171"/>
      <c r="J29" s="172"/>
      <c r="K29" s="172" t="str">
        <f t="shared" si="12"/>
        <v/>
      </c>
      <c r="L29" s="172" t="str">
        <f t="shared" si="12"/>
        <v/>
      </c>
      <c r="M29" s="172" t="str">
        <f t="shared" si="12"/>
        <v>Y</v>
      </c>
      <c r="N29" s="172" t="str">
        <f t="shared" si="12"/>
        <v>Y</v>
      </c>
      <c r="O29" s="172" t="str">
        <f t="shared" si="12"/>
        <v/>
      </c>
      <c r="P29" s="172" t="str">
        <f t="shared" si="12"/>
        <v/>
      </c>
      <c r="Q29" s="9"/>
      <c r="R29" s="9"/>
      <c r="S29" s="9"/>
      <c r="T29" s="9"/>
      <c r="U29" s="9"/>
      <c r="V29" s="9"/>
      <c r="W29" s="9"/>
      <c r="X29" s="9"/>
      <c r="Y29" s="9"/>
      <c r="Z29" s="9"/>
      <c r="AA29" s="9"/>
      <c r="AB29" s="9"/>
      <c r="AC29" s="9"/>
      <c r="AD29" s="9"/>
      <c r="AE29" s="9"/>
      <c r="AF29" s="9"/>
      <c r="AG29" s="9"/>
    </row>
    <row r="30" spans="1:33" ht="30" customHeight="1" x14ac:dyDescent="0.35">
      <c r="A30" s="11"/>
      <c r="B30" s="12"/>
      <c r="C30" s="27"/>
      <c r="D30" s="235" t="s">
        <v>97</v>
      </c>
      <c r="E30" s="232"/>
      <c r="F30" s="232"/>
      <c r="G30" s="232"/>
      <c r="H30" s="232"/>
      <c r="I30" s="233"/>
      <c r="J30" s="173"/>
      <c r="K30" s="174">
        <f t="shared" ref="K30:P30" si="13">COUNTIF(K26:K29,"Y")</f>
        <v>2</v>
      </c>
      <c r="L30" s="174">
        <f t="shared" si="13"/>
        <v>2</v>
      </c>
      <c r="M30" s="174">
        <f t="shared" si="13"/>
        <v>1</v>
      </c>
      <c r="N30" s="174">
        <f t="shared" si="13"/>
        <v>1</v>
      </c>
      <c r="O30" s="174">
        <f t="shared" si="13"/>
        <v>1</v>
      </c>
      <c r="P30" s="174">
        <f t="shared" si="13"/>
        <v>1</v>
      </c>
      <c r="Q30" s="9"/>
      <c r="R30" s="9"/>
      <c r="S30" s="9"/>
      <c r="T30" s="9"/>
      <c r="U30" s="9"/>
      <c r="V30" s="9"/>
      <c r="W30" s="9"/>
      <c r="X30" s="9"/>
      <c r="Y30" s="9"/>
      <c r="Z30" s="9"/>
      <c r="AA30" s="9"/>
      <c r="AB30" s="9"/>
      <c r="AC30" s="9"/>
      <c r="AD30" s="9"/>
      <c r="AE30" s="9"/>
      <c r="AF30" s="9"/>
      <c r="AG30" s="9"/>
    </row>
    <row r="31" spans="1:33" ht="30" customHeight="1" x14ac:dyDescent="0.35">
      <c r="A31" s="20"/>
      <c r="B31" s="21"/>
      <c r="C31" s="28"/>
      <c r="D31" s="231" t="s">
        <v>98</v>
      </c>
      <c r="E31" s="232"/>
      <c r="F31" s="232"/>
      <c r="G31" s="232"/>
      <c r="H31" s="232"/>
      <c r="I31" s="233"/>
      <c r="J31" s="173"/>
      <c r="K31" s="175">
        <f t="shared" ref="K31:P31" si="14">100*K30/4</f>
        <v>50</v>
      </c>
      <c r="L31" s="175">
        <f t="shared" si="14"/>
        <v>50</v>
      </c>
      <c r="M31" s="175">
        <f t="shared" si="14"/>
        <v>25</v>
      </c>
      <c r="N31" s="175">
        <f t="shared" si="14"/>
        <v>25</v>
      </c>
      <c r="O31" s="175">
        <f t="shared" si="14"/>
        <v>25</v>
      </c>
      <c r="P31" s="175">
        <f t="shared" si="14"/>
        <v>25</v>
      </c>
      <c r="Q31" s="9"/>
      <c r="R31" s="9"/>
      <c r="S31" s="9"/>
      <c r="T31" s="9"/>
      <c r="U31" s="9"/>
      <c r="V31" s="9"/>
      <c r="W31" s="9"/>
      <c r="X31" s="9"/>
      <c r="Y31" s="9"/>
      <c r="Z31" s="9"/>
      <c r="AA31" s="9"/>
      <c r="AB31" s="9"/>
      <c r="AC31" s="9"/>
      <c r="AD31" s="9"/>
      <c r="AE31" s="9"/>
      <c r="AF31" s="9"/>
      <c r="AG31" s="9"/>
    </row>
    <row r="32" spans="1:33" ht="30" customHeight="1" x14ac:dyDescent="0.35">
      <c r="A32" s="20"/>
      <c r="B32" s="21"/>
      <c r="C32" s="28"/>
      <c r="D32" s="234" t="s">
        <v>99</v>
      </c>
      <c r="E32" s="232"/>
      <c r="F32" s="232"/>
      <c r="G32" s="232"/>
      <c r="H32" s="232"/>
      <c r="I32" s="233"/>
      <c r="J32" s="173"/>
      <c r="K32" s="176">
        <f t="shared" ref="K32:P32" si="15">IF((K31&gt;=66),3,IF(AND(K31&gt;=33,K31&lt;66),2,IF(AND(K31&gt;0,K31&lt;33),1,"-")))</f>
        <v>2</v>
      </c>
      <c r="L32" s="176">
        <f t="shared" si="15"/>
        <v>2</v>
      </c>
      <c r="M32" s="176">
        <f t="shared" si="15"/>
        <v>1</v>
      </c>
      <c r="N32" s="176">
        <f t="shared" si="15"/>
        <v>1</v>
      </c>
      <c r="O32" s="176">
        <f t="shared" si="15"/>
        <v>1</v>
      </c>
      <c r="P32" s="176">
        <f t="shared" si="15"/>
        <v>1</v>
      </c>
      <c r="Q32" s="9"/>
      <c r="R32" s="9"/>
      <c r="S32" s="9"/>
      <c r="T32" s="9"/>
      <c r="U32" s="9"/>
      <c r="V32" s="9"/>
      <c r="W32" s="9"/>
      <c r="X32" s="9"/>
      <c r="Y32" s="9"/>
      <c r="Z32" s="9"/>
      <c r="AA32" s="9"/>
      <c r="AB32" s="9"/>
      <c r="AC32" s="9"/>
      <c r="AD32" s="9"/>
      <c r="AE32" s="9"/>
      <c r="AF32" s="9"/>
      <c r="AG32" s="9"/>
    </row>
    <row r="33" spans="1:33" ht="30" customHeight="1" x14ac:dyDescent="0.35">
      <c r="A33" s="242" t="s">
        <v>32</v>
      </c>
      <c r="B33" s="2" t="s">
        <v>62</v>
      </c>
      <c r="C33" s="29"/>
      <c r="D33" s="177"/>
      <c r="E33" s="177"/>
      <c r="F33" s="177"/>
      <c r="G33" s="177"/>
      <c r="H33" s="177"/>
      <c r="I33" s="177"/>
      <c r="J33" s="172"/>
      <c r="K33" s="172" t="str">
        <f t="shared" ref="K33:P35" si="16">IF(D33="","","Y")</f>
        <v/>
      </c>
      <c r="L33" s="172" t="str">
        <f t="shared" si="16"/>
        <v/>
      </c>
      <c r="M33" s="172" t="str">
        <f t="shared" si="16"/>
        <v/>
      </c>
      <c r="N33" s="172" t="str">
        <f t="shared" si="16"/>
        <v/>
      </c>
      <c r="O33" s="172" t="str">
        <f t="shared" si="16"/>
        <v/>
      </c>
      <c r="P33" s="172" t="str">
        <f t="shared" si="16"/>
        <v/>
      </c>
      <c r="Q33" s="9"/>
      <c r="R33" s="9"/>
      <c r="S33" s="9"/>
      <c r="T33" s="9"/>
      <c r="U33" s="9"/>
      <c r="V33" s="9"/>
      <c r="W33" s="9"/>
      <c r="X33" s="9"/>
      <c r="Y33" s="9"/>
      <c r="Z33" s="9"/>
      <c r="AA33" s="9"/>
      <c r="AB33" s="9"/>
      <c r="AC33" s="9"/>
      <c r="AD33" s="9"/>
      <c r="AE33" s="9"/>
      <c r="AF33" s="9"/>
      <c r="AG33" s="9"/>
    </row>
    <row r="34" spans="1:33" ht="30" customHeight="1" x14ac:dyDescent="0.35">
      <c r="A34" s="243"/>
      <c r="B34" s="2" t="s">
        <v>63</v>
      </c>
      <c r="C34" s="29"/>
      <c r="D34" s="177"/>
      <c r="E34" s="177"/>
      <c r="F34" s="177"/>
      <c r="G34" s="177"/>
      <c r="H34" s="177"/>
      <c r="I34" s="177"/>
      <c r="J34" s="172"/>
      <c r="K34" s="172" t="str">
        <f t="shared" si="16"/>
        <v/>
      </c>
      <c r="L34" s="172" t="str">
        <f t="shared" si="16"/>
        <v/>
      </c>
      <c r="M34" s="172" t="str">
        <f t="shared" si="16"/>
        <v/>
      </c>
      <c r="N34" s="172" t="str">
        <f t="shared" si="16"/>
        <v/>
      </c>
      <c r="O34" s="172" t="str">
        <f t="shared" si="16"/>
        <v/>
      </c>
      <c r="P34" s="172" t="str">
        <f t="shared" si="16"/>
        <v/>
      </c>
      <c r="Q34" s="9"/>
      <c r="R34" s="9"/>
      <c r="S34" s="9"/>
      <c r="T34" s="9"/>
      <c r="U34" s="9"/>
      <c r="V34" s="9"/>
      <c r="W34" s="9"/>
      <c r="X34" s="9"/>
      <c r="Y34" s="9"/>
      <c r="Z34" s="9"/>
      <c r="AA34" s="9"/>
      <c r="AB34" s="9"/>
      <c r="AC34" s="9"/>
      <c r="AD34" s="9"/>
      <c r="AE34" s="9"/>
      <c r="AF34" s="9"/>
      <c r="AG34" s="9"/>
    </row>
    <row r="35" spans="1:33" ht="30" customHeight="1" x14ac:dyDescent="0.35">
      <c r="A35" s="244"/>
      <c r="B35" s="13" t="s">
        <v>64</v>
      </c>
      <c r="C35" s="26"/>
      <c r="D35" s="177"/>
      <c r="E35" s="177"/>
      <c r="F35" s="177"/>
      <c r="G35" s="177"/>
      <c r="H35" s="177"/>
      <c r="I35" s="177"/>
      <c r="J35" s="172"/>
      <c r="K35" s="172" t="str">
        <f t="shared" si="16"/>
        <v/>
      </c>
      <c r="L35" s="172" t="str">
        <f t="shared" si="16"/>
        <v/>
      </c>
      <c r="M35" s="172" t="str">
        <f t="shared" si="16"/>
        <v/>
      </c>
      <c r="N35" s="172" t="str">
        <f t="shared" si="16"/>
        <v/>
      </c>
      <c r="O35" s="172" t="str">
        <f t="shared" si="16"/>
        <v/>
      </c>
      <c r="P35" s="172" t="str">
        <f t="shared" si="16"/>
        <v/>
      </c>
      <c r="Q35" s="9"/>
      <c r="R35" s="9"/>
      <c r="S35" s="9"/>
      <c r="T35" s="9"/>
      <c r="U35" s="9"/>
      <c r="V35" s="9"/>
      <c r="W35" s="9"/>
      <c r="X35" s="9"/>
      <c r="Y35" s="9"/>
      <c r="Z35" s="9"/>
      <c r="AA35" s="9"/>
      <c r="AB35" s="9"/>
      <c r="AC35" s="9"/>
      <c r="AD35" s="9"/>
      <c r="AE35" s="9"/>
      <c r="AF35" s="9"/>
      <c r="AG35" s="9"/>
    </row>
    <row r="36" spans="1:33" ht="30" customHeight="1" x14ac:dyDescent="0.35">
      <c r="A36" s="11"/>
      <c r="B36" s="12"/>
      <c r="C36" s="27"/>
      <c r="D36" s="235" t="s">
        <v>100</v>
      </c>
      <c r="E36" s="232"/>
      <c r="F36" s="232"/>
      <c r="G36" s="232"/>
      <c r="H36" s="232"/>
      <c r="I36" s="233"/>
      <c r="J36" s="173"/>
      <c r="K36" s="174">
        <f t="shared" ref="K36:P36" si="17">COUNTIF(K32:K35,"Y")</f>
        <v>0</v>
      </c>
      <c r="L36" s="174">
        <f t="shared" si="17"/>
        <v>0</v>
      </c>
      <c r="M36" s="174">
        <f t="shared" si="17"/>
        <v>0</v>
      </c>
      <c r="N36" s="174">
        <f t="shared" si="17"/>
        <v>0</v>
      </c>
      <c r="O36" s="174">
        <f t="shared" si="17"/>
        <v>0</v>
      </c>
      <c r="P36" s="174">
        <f t="shared" si="17"/>
        <v>0</v>
      </c>
      <c r="Q36" s="9"/>
      <c r="R36" s="9"/>
      <c r="S36" s="9"/>
      <c r="T36" s="9"/>
      <c r="U36" s="9"/>
      <c r="V36" s="9"/>
      <c r="W36" s="9"/>
      <c r="X36" s="9"/>
      <c r="Y36" s="9"/>
      <c r="Z36" s="9"/>
      <c r="AA36" s="9"/>
      <c r="AB36" s="9"/>
      <c r="AC36" s="9"/>
      <c r="AD36" s="9"/>
      <c r="AE36" s="9"/>
      <c r="AF36" s="9"/>
      <c r="AG36" s="9"/>
    </row>
    <row r="37" spans="1:33" ht="30" customHeight="1" x14ac:dyDescent="0.35">
      <c r="A37" s="20"/>
      <c r="B37" s="12"/>
      <c r="C37" s="27"/>
      <c r="D37" s="231" t="s">
        <v>101</v>
      </c>
      <c r="E37" s="232"/>
      <c r="F37" s="232"/>
      <c r="G37" s="232"/>
      <c r="H37" s="232"/>
      <c r="I37" s="233"/>
      <c r="J37" s="173"/>
      <c r="K37" s="175">
        <f t="shared" ref="K37:P37" si="18">100*K36/4</f>
        <v>0</v>
      </c>
      <c r="L37" s="175">
        <f t="shared" si="18"/>
        <v>0</v>
      </c>
      <c r="M37" s="175">
        <f t="shared" si="18"/>
        <v>0</v>
      </c>
      <c r="N37" s="175">
        <f t="shared" si="18"/>
        <v>0</v>
      </c>
      <c r="O37" s="175">
        <f t="shared" si="18"/>
        <v>0</v>
      </c>
      <c r="P37" s="175">
        <f t="shared" si="18"/>
        <v>0</v>
      </c>
      <c r="Q37" s="9"/>
      <c r="R37" s="9"/>
      <c r="S37" s="9"/>
      <c r="T37" s="9"/>
      <c r="U37" s="9"/>
      <c r="V37" s="9"/>
      <c r="W37" s="9"/>
      <c r="X37" s="9"/>
      <c r="Y37" s="9"/>
      <c r="Z37" s="9"/>
      <c r="AA37" s="9"/>
      <c r="AB37" s="9"/>
      <c r="AC37" s="9"/>
      <c r="AD37" s="9"/>
      <c r="AE37" s="9"/>
      <c r="AF37" s="9"/>
      <c r="AG37" s="9"/>
    </row>
    <row r="38" spans="1:33" ht="30" customHeight="1" x14ac:dyDescent="0.35">
      <c r="A38" s="20"/>
      <c r="B38" s="12"/>
      <c r="C38" s="27"/>
      <c r="D38" s="234" t="s">
        <v>102</v>
      </c>
      <c r="E38" s="232"/>
      <c r="F38" s="232"/>
      <c r="G38" s="232"/>
      <c r="H38" s="232"/>
      <c r="I38" s="233"/>
      <c r="J38" s="173"/>
      <c r="K38" s="176" t="str">
        <f t="shared" ref="K38:P38" si="19">IF((K37&gt;=66),3,IF(AND(K37&gt;=33,K37&lt;66),2,IF(AND(K37&gt;0,K37&lt;33),1,"-")))</f>
        <v>-</v>
      </c>
      <c r="L38" s="176" t="str">
        <f t="shared" si="19"/>
        <v>-</v>
      </c>
      <c r="M38" s="176" t="str">
        <f t="shared" si="19"/>
        <v>-</v>
      </c>
      <c r="N38" s="176" t="str">
        <f t="shared" si="19"/>
        <v>-</v>
      </c>
      <c r="O38" s="176" t="str">
        <f t="shared" si="19"/>
        <v>-</v>
      </c>
      <c r="P38" s="176" t="str">
        <f t="shared" si="19"/>
        <v>-</v>
      </c>
      <c r="Q38" s="9"/>
      <c r="R38" s="9"/>
      <c r="S38" s="9"/>
      <c r="T38" s="9"/>
      <c r="U38" s="9"/>
      <c r="V38" s="9"/>
      <c r="W38" s="9"/>
      <c r="X38" s="9"/>
      <c r="Y38" s="9"/>
      <c r="Z38" s="9"/>
      <c r="AA38" s="9"/>
      <c r="AB38" s="9"/>
      <c r="AC38" s="9"/>
      <c r="AD38" s="9"/>
      <c r="AE38" s="9"/>
      <c r="AF38" s="9"/>
      <c r="AG38" s="9"/>
    </row>
    <row r="39" spans="1:33" ht="30" customHeight="1" x14ac:dyDescent="0.35">
      <c r="A39" s="245" t="s">
        <v>33</v>
      </c>
      <c r="B39" s="17" t="s">
        <v>65</v>
      </c>
      <c r="C39" s="26"/>
      <c r="D39" s="177"/>
      <c r="E39" s="177"/>
      <c r="F39" s="177"/>
      <c r="G39" s="177"/>
      <c r="H39" s="177"/>
      <c r="I39" s="177"/>
      <c r="J39" s="172"/>
      <c r="K39" s="172" t="str">
        <f t="shared" ref="K39:P40" si="20">IF(D39="","","Y")</f>
        <v/>
      </c>
      <c r="L39" s="172" t="str">
        <f t="shared" si="20"/>
        <v/>
      </c>
      <c r="M39" s="172" t="str">
        <f t="shared" si="20"/>
        <v/>
      </c>
      <c r="N39" s="172" t="str">
        <f t="shared" si="20"/>
        <v/>
      </c>
      <c r="O39" s="172" t="str">
        <f t="shared" si="20"/>
        <v/>
      </c>
      <c r="P39" s="172" t="str">
        <f t="shared" si="20"/>
        <v/>
      </c>
      <c r="Q39" s="9"/>
      <c r="R39" s="9"/>
      <c r="S39" s="9"/>
      <c r="T39" s="9"/>
      <c r="U39" s="9"/>
      <c r="V39" s="9"/>
      <c r="W39" s="9"/>
      <c r="X39" s="9"/>
      <c r="Y39" s="9"/>
      <c r="Z39" s="9"/>
      <c r="AA39" s="9"/>
      <c r="AB39" s="9"/>
      <c r="AC39" s="9"/>
      <c r="AD39" s="9"/>
      <c r="AE39" s="9"/>
      <c r="AF39" s="9"/>
      <c r="AG39" s="9"/>
    </row>
    <row r="40" spans="1:33" ht="30" customHeight="1" x14ac:dyDescent="0.35">
      <c r="A40" s="246"/>
      <c r="B40" s="17" t="s">
        <v>66</v>
      </c>
      <c r="C40" s="26"/>
      <c r="D40" s="177"/>
      <c r="E40" s="177"/>
      <c r="F40" s="177"/>
      <c r="G40" s="177"/>
      <c r="H40" s="177"/>
      <c r="I40" s="177"/>
      <c r="J40" s="172"/>
      <c r="K40" s="172" t="str">
        <f t="shared" si="20"/>
        <v/>
      </c>
      <c r="L40" s="172" t="str">
        <f t="shared" si="20"/>
        <v/>
      </c>
      <c r="M40" s="172" t="str">
        <f t="shared" si="20"/>
        <v/>
      </c>
      <c r="N40" s="172" t="str">
        <f t="shared" si="20"/>
        <v/>
      </c>
      <c r="O40" s="172" t="str">
        <f t="shared" si="20"/>
        <v/>
      </c>
      <c r="P40" s="172" t="str">
        <f t="shared" si="20"/>
        <v/>
      </c>
      <c r="Q40" s="9"/>
      <c r="R40" s="9"/>
      <c r="S40" s="9"/>
      <c r="T40" s="9"/>
      <c r="U40" s="9"/>
      <c r="V40" s="9"/>
      <c r="W40" s="9"/>
      <c r="X40" s="9"/>
      <c r="Y40" s="9"/>
      <c r="Z40" s="9"/>
      <c r="AA40" s="9"/>
      <c r="AB40" s="9"/>
      <c r="AC40" s="9"/>
      <c r="AD40" s="9"/>
      <c r="AE40" s="9"/>
      <c r="AF40" s="9"/>
      <c r="AG40" s="9"/>
    </row>
    <row r="41" spans="1:33" ht="30" customHeight="1" x14ac:dyDescent="0.35">
      <c r="A41" s="11"/>
      <c r="B41" s="12"/>
      <c r="C41" s="27"/>
      <c r="D41" s="235" t="s">
        <v>103</v>
      </c>
      <c r="E41" s="232"/>
      <c r="F41" s="232"/>
      <c r="G41" s="232"/>
      <c r="H41" s="232"/>
      <c r="I41" s="233"/>
      <c r="J41" s="173"/>
      <c r="K41" s="174">
        <f t="shared" ref="K41:P41" si="21">COUNTIF(K39:K40,"Y")</f>
        <v>0</v>
      </c>
      <c r="L41" s="174">
        <f t="shared" si="21"/>
        <v>0</v>
      </c>
      <c r="M41" s="174">
        <f t="shared" si="21"/>
        <v>0</v>
      </c>
      <c r="N41" s="174">
        <f t="shared" si="21"/>
        <v>0</v>
      </c>
      <c r="O41" s="174">
        <f t="shared" si="21"/>
        <v>0</v>
      </c>
      <c r="P41" s="174">
        <f t="shared" si="21"/>
        <v>0</v>
      </c>
      <c r="Q41" s="9"/>
      <c r="R41" s="9"/>
      <c r="S41" s="9"/>
      <c r="T41" s="9"/>
      <c r="U41" s="9"/>
      <c r="V41" s="9"/>
      <c r="W41" s="9"/>
      <c r="X41" s="9"/>
      <c r="Y41" s="9"/>
      <c r="Z41" s="9"/>
      <c r="AA41" s="9"/>
      <c r="AB41" s="9"/>
      <c r="AC41" s="9"/>
      <c r="AD41" s="9"/>
      <c r="AE41" s="9"/>
      <c r="AF41" s="9"/>
      <c r="AG41" s="9"/>
    </row>
    <row r="42" spans="1:33" ht="30" customHeight="1" x14ac:dyDescent="0.35">
      <c r="A42" s="23"/>
      <c r="B42" s="21"/>
      <c r="C42" s="28"/>
      <c r="D42" s="231" t="s">
        <v>104</v>
      </c>
      <c r="E42" s="232"/>
      <c r="F42" s="232"/>
      <c r="G42" s="232"/>
      <c r="H42" s="232"/>
      <c r="I42" s="233"/>
      <c r="J42" s="173"/>
      <c r="K42" s="175">
        <f t="shared" ref="K42:P42" si="22">100*K41/2</f>
        <v>0</v>
      </c>
      <c r="L42" s="175">
        <f t="shared" si="22"/>
        <v>0</v>
      </c>
      <c r="M42" s="175">
        <f t="shared" si="22"/>
        <v>0</v>
      </c>
      <c r="N42" s="175">
        <f t="shared" si="22"/>
        <v>0</v>
      </c>
      <c r="O42" s="175">
        <f t="shared" si="22"/>
        <v>0</v>
      </c>
      <c r="P42" s="175">
        <f t="shared" si="22"/>
        <v>0</v>
      </c>
      <c r="Q42" s="9"/>
      <c r="R42" s="9"/>
      <c r="S42" s="9"/>
      <c r="T42" s="9"/>
      <c r="U42" s="9"/>
      <c r="V42" s="9"/>
      <c r="W42" s="9"/>
      <c r="X42" s="9"/>
      <c r="Y42" s="9"/>
      <c r="Z42" s="9"/>
      <c r="AA42" s="9"/>
      <c r="AB42" s="9"/>
      <c r="AC42" s="9"/>
      <c r="AD42" s="9"/>
      <c r="AE42" s="9"/>
      <c r="AF42" s="9"/>
      <c r="AG42" s="9"/>
    </row>
    <row r="43" spans="1:33" ht="30" customHeight="1" x14ac:dyDescent="0.35">
      <c r="A43" s="23"/>
      <c r="B43" s="21"/>
      <c r="C43" s="28"/>
      <c r="D43" s="234" t="s">
        <v>105</v>
      </c>
      <c r="E43" s="232"/>
      <c r="F43" s="232"/>
      <c r="G43" s="232"/>
      <c r="H43" s="232"/>
      <c r="I43" s="233"/>
      <c r="J43" s="173"/>
      <c r="K43" s="176" t="str">
        <f t="shared" ref="K43:P43" si="23">IF((K42&gt;50),3,IF(AND(K42&gt;0,K42&lt;=50),1,IF(AND(K42=0,K42&lt;0),"-","-")))</f>
        <v>-</v>
      </c>
      <c r="L43" s="176" t="str">
        <f t="shared" si="23"/>
        <v>-</v>
      </c>
      <c r="M43" s="176" t="str">
        <f t="shared" si="23"/>
        <v>-</v>
      </c>
      <c r="N43" s="176" t="str">
        <f t="shared" si="23"/>
        <v>-</v>
      </c>
      <c r="O43" s="176" t="str">
        <f t="shared" si="23"/>
        <v>-</v>
      </c>
      <c r="P43" s="176" t="str">
        <f t="shared" si="23"/>
        <v>-</v>
      </c>
      <c r="Q43" s="9"/>
      <c r="R43" s="9"/>
      <c r="S43" s="9"/>
      <c r="T43" s="9"/>
      <c r="U43" s="9"/>
      <c r="V43" s="9"/>
      <c r="W43" s="9"/>
      <c r="X43" s="9"/>
      <c r="Y43" s="9"/>
      <c r="Z43" s="9"/>
      <c r="AA43" s="9"/>
      <c r="AB43" s="9"/>
      <c r="AC43" s="9"/>
      <c r="AD43" s="9"/>
      <c r="AE43" s="9"/>
      <c r="AF43" s="9"/>
      <c r="AG43" s="9"/>
    </row>
    <row r="44" spans="1:33" ht="30" customHeight="1" x14ac:dyDescent="0.35">
      <c r="A44" s="252" t="s">
        <v>34</v>
      </c>
      <c r="B44" s="6" t="s">
        <v>67</v>
      </c>
      <c r="C44" s="29"/>
      <c r="D44" s="177"/>
      <c r="E44" s="177"/>
      <c r="F44" s="177"/>
      <c r="G44" s="177"/>
      <c r="H44" s="177"/>
      <c r="I44" s="177"/>
      <c r="J44" s="172"/>
      <c r="K44" s="172" t="str">
        <f t="shared" ref="K44:P45" si="24">IF(D44="","","Y")</f>
        <v/>
      </c>
      <c r="L44" s="172" t="str">
        <f t="shared" si="24"/>
        <v/>
      </c>
      <c r="M44" s="172" t="str">
        <f t="shared" si="24"/>
        <v/>
      </c>
      <c r="N44" s="172" t="str">
        <f t="shared" si="24"/>
        <v/>
      </c>
      <c r="O44" s="172" t="str">
        <f t="shared" si="24"/>
        <v/>
      </c>
      <c r="P44" s="172" t="str">
        <f t="shared" si="24"/>
        <v/>
      </c>
      <c r="Q44" s="9"/>
      <c r="R44" s="9"/>
      <c r="S44" s="9"/>
      <c r="T44" s="9"/>
      <c r="U44" s="9"/>
      <c r="V44" s="9"/>
      <c r="W44" s="9"/>
      <c r="X44" s="9"/>
      <c r="Y44" s="9"/>
      <c r="Z44" s="9"/>
      <c r="AA44" s="9"/>
      <c r="AB44" s="9"/>
      <c r="AC44" s="9"/>
      <c r="AD44" s="9"/>
      <c r="AE44" s="9"/>
      <c r="AF44" s="9"/>
      <c r="AG44" s="9"/>
    </row>
    <row r="45" spans="1:33" ht="30" customHeight="1" x14ac:dyDescent="0.35">
      <c r="A45" s="253"/>
      <c r="B45" s="6" t="s">
        <v>68</v>
      </c>
      <c r="C45" s="29"/>
      <c r="D45" s="177"/>
      <c r="E45" s="177"/>
      <c r="F45" s="177"/>
      <c r="G45" s="177"/>
      <c r="H45" s="177"/>
      <c r="I45" s="177"/>
      <c r="J45" s="172"/>
      <c r="K45" s="172" t="str">
        <f t="shared" si="24"/>
        <v/>
      </c>
      <c r="L45" s="172" t="str">
        <f t="shared" si="24"/>
        <v/>
      </c>
      <c r="M45" s="172" t="str">
        <f t="shared" si="24"/>
        <v/>
      </c>
      <c r="N45" s="172" t="str">
        <f t="shared" si="24"/>
        <v/>
      </c>
      <c r="O45" s="172" t="str">
        <f t="shared" si="24"/>
        <v/>
      </c>
      <c r="P45" s="172" t="str">
        <f t="shared" si="24"/>
        <v/>
      </c>
      <c r="Q45" s="9"/>
      <c r="R45" s="9"/>
      <c r="S45" s="9"/>
      <c r="T45" s="9"/>
      <c r="U45" s="9"/>
      <c r="V45" s="9"/>
      <c r="W45" s="9"/>
      <c r="X45" s="9"/>
      <c r="Y45" s="9"/>
      <c r="Z45" s="9"/>
      <c r="AA45" s="9"/>
      <c r="AB45" s="9"/>
      <c r="AC45" s="9"/>
      <c r="AD45" s="9"/>
      <c r="AE45" s="9"/>
      <c r="AF45" s="9"/>
      <c r="AG45" s="9"/>
    </row>
    <row r="46" spans="1:33" ht="30" customHeight="1" x14ac:dyDescent="0.35">
      <c r="A46" s="11"/>
      <c r="B46" s="12"/>
      <c r="C46" s="27"/>
      <c r="D46" s="235" t="s">
        <v>106</v>
      </c>
      <c r="E46" s="232"/>
      <c r="F46" s="232"/>
      <c r="G46" s="232"/>
      <c r="H46" s="232"/>
      <c r="I46" s="233"/>
      <c r="J46" s="173"/>
      <c r="K46" s="174">
        <f t="shared" ref="K46:P46" si="25">COUNTIF(K44:K45,"Y")</f>
        <v>0</v>
      </c>
      <c r="L46" s="174">
        <f t="shared" si="25"/>
        <v>0</v>
      </c>
      <c r="M46" s="174">
        <f t="shared" si="25"/>
        <v>0</v>
      </c>
      <c r="N46" s="174">
        <f t="shared" si="25"/>
        <v>0</v>
      </c>
      <c r="O46" s="174">
        <f t="shared" si="25"/>
        <v>0</v>
      </c>
      <c r="P46" s="174">
        <f t="shared" si="25"/>
        <v>0</v>
      </c>
      <c r="Q46" s="9"/>
      <c r="R46" s="9"/>
      <c r="S46" s="9"/>
      <c r="T46" s="9"/>
      <c r="U46" s="9"/>
      <c r="V46" s="9"/>
      <c r="W46" s="9"/>
      <c r="X46" s="9"/>
      <c r="Y46" s="9"/>
      <c r="Z46" s="9"/>
      <c r="AA46" s="9"/>
      <c r="AB46" s="9"/>
      <c r="AC46" s="9"/>
      <c r="AD46" s="9"/>
      <c r="AE46" s="9"/>
      <c r="AF46" s="9"/>
      <c r="AG46" s="9"/>
    </row>
    <row r="47" spans="1:33" ht="30" customHeight="1" x14ac:dyDescent="0.35">
      <c r="A47" s="20"/>
      <c r="B47" s="12"/>
      <c r="C47" s="27"/>
      <c r="D47" s="231" t="s">
        <v>107</v>
      </c>
      <c r="E47" s="232"/>
      <c r="F47" s="232"/>
      <c r="G47" s="232"/>
      <c r="H47" s="232"/>
      <c r="I47" s="233"/>
      <c r="J47" s="173"/>
      <c r="K47" s="175">
        <f t="shared" ref="K47:P47" si="26">100*K46/2</f>
        <v>0</v>
      </c>
      <c r="L47" s="175">
        <f t="shared" si="26"/>
        <v>0</v>
      </c>
      <c r="M47" s="175">
        <f t="shared" si="26"/>
        <v>0</v>
      </c>
      <c r="N47" s="175">
        <f t="shared" si="26"/>
        <v>0</v>
      </c>
      <c r="O47" s="175">
        <f t="shared" si="26"/>
        <v>0</v>
      </c>
      <c r="P47" s="175">
        <f t="shared" si="26"/>
        <v>0</v>
      </c>
      <c r="Q47" s="9"/>
      <c r="R47" s="9"/>
      <c r="S47" s="9"/>
      <c r="T47" s="9"/>
      <c r="U47" s="9"/>
      <c r="V47" s="9"/>
      <c r="W47" s="9"/>
      <c r="X47" s="9"/>
      <c r="Y47" s="9"/>
      <c r="Z47" s="9"/>
      <c r="AA47" s="9"/>
      <c r="AB47" s="9"/>
      <c r="AC47" s="9"/>
      <c r="AD47" s="9"/>
      <c r="AE47" s="9"/>
      <c r="AF47" s="9"/>
      <c r="AG47" s="9"/>
    </row>
    <row r="48" spans="1:33" ht="30" customHeight="1" x14ac:dyDescent="0.35">
      <c r="A48" s="20"/>
      <c r="B48" s="12"/>
      <c r="C48" s="27"/>
      <c r="D48" s="234" t="s">
        <v>108</v>
      </c>
      <c r="E48" s="232"/>
      <c r="F48" s="232"/>
      <c r="G48" s="232"/>
      <c r="H48" s="232"/>
      <c r="I48" s="233"/>
      <c r="J48" s="173"/>
      <c r="K48" s="176" t="str">
        <f t="shared" ref="K48:P48" si="27">IF((K47&gt;50),3,IF(AND(K47&gt;0,K47&lt;=50),1,IF(AND(K47=0,K47&lt;0),"-","-")))</f>
        <v>-</v>
      </c>
      <c r="L48" s="176" t="str">
        <f t="shared" si="27"/>
        <v>-</v>
      </c>
      <c r="M48" s="176" t="str">
        <f t="shared" si="27"/>
        <v>-</v>
      </c>
      <c r="N48" s="176" t="str">
        <f t="shared" si="27"/>
        <v>-</v>
      </c>
      <c r="O48" s="176" t="str">
        <f t="shared" si="27"/>
        <v>-</v>
      </c>
      <c r="P48" s="176" t="str">
        <f t="shared" si="27"/>
        <v>-</v>
      </c>
      <c r="Q48" s="9"/>
      <c r="R48" s="9"/>
      <c r="S48" s="9"/>
      <c r="T48" s="9"/>
      <c r="U48" s="9"/>
      <c r="V48" s="9"/>
      <c r="W48" s="9"/>
      <c r="X48" s="9"/>
      <c r="Y48" s="9"/>
      <c r="Z48" s="9"/>
      <c r="AA48" s="9"/>
      <c r="AB48" s="9"/>
      <c r="AC48" s="9"/>
      <c r="AD48" s="9"/>
      <c r="AE48" s="9"/>
      <c r="AF48" s="9"/>
      <c r="AG48" s="9"/>
    </row>
    <row r="49" spans="1:33" ht="30" customHeight="1" x14ac:dyDescent="0.35">
      <c r="A49" s="247" t="s">
        <v>35</v>
      </c>
      <c r="B49" s="18" t="s">
        <v>69</v>
      </c>
      <c r="C49" s="26"/>
      <c r="D49" s="177"/>
      <c r="E49" s="177"/>
      <c r="F49" s="177"/>
      <c r="G49" s="177"/>
      <c r="H49" s="177"/>
      <c r="I49" s="177"/>
      <c r="J49" s="172"/>
      <c r="K49" s="172" t="str">
        <f t="shared" ref="K49:P50" si="28">IF(D49="","","Y")</f>
        <v/>
      </c>
      <c r="L49" s="172" t="str">
        <f t="shared" si="28"/>
        <v/>
      </c>
      <c r="M49" s="172" t="str">
        <f t="shared" si="28"/>
        <v/>
      </c>
      <c r="N49" s="172" t="str">
        <f t="shared" si="28"/>
        <v/>
      </c>
      <c r="O49" s="172" t="str">
        <f t="shared" si="28"/>
        <v/>
      </c>
      <c r="P49" s="172" t="str">
        <f t="shared" si="28"/>
        <v/>
      </c>
      <c r="Q49" s="9"/>
      <c r="R49" s="9"/>
      <c r="S49" s="9"/>
      <c r="T49" s="9"/>
      <c r="U49" s="9"/>
      <c r="V49" s="9"/>
      <c r="W49" s="9"/>
      <c r="X49" s="9"/>
      <c r="Y49" s="9"/>
      <c r="Z49" s="9"/>
      <c r="AA49" s="9"/>
      <c r="AB49" s="9"/>
      <c r="AC49" s="9"/>
      <c r="AD49" s="9"/>
      <c r="AE49" s="9"/>
      <c r="AF49" s="9"/>
      <c r="AG49" s="9"/>
    </row>
    <row r="50" spans="1:33" ht="30" customHeight="1" x14ac:dyDescent="0.35">
      <c r="A50" s="248"/>
      <c r="B50" s="7" t="s">
        <v>70</v>
      </c>
      <c r="C50" s="29"/>
      <c r="D50" s="177"/>
      <c r="E50" s="177"/>
      <c r="F50" s="177"/>
      <c r="G50" s="177"/>
      <c r="H50" s="177"/>
      <c r="I50" s="177"/>
      <c r="J50" s="172"/>
      <c r="K50" s="172" t="str">
        <f t="shared" si="28"/>
        <v/>
      </c>
      <c r="L50" s="172" t="str">
        <f t="shared" si="28"/>
        <v/>
      </c>
      <c r="M50" s="172" t="str">
        <f t="shared" si="28"/>
        <v/>
      </c>
      <c r="N50" s="172" t="str">
        <f t="shared" si="28"/>
        <v/>
      </c>
      <c r="O50" s="172" t="str">
        <f t="shared" si="28"/>
        <v/>
      </c>
      <c r="P50" s="172" t="str">
        <f t="shared" si="28"/>
        <v/>
      </c>
      <c r="Q50" s="9"/>
      <c r="R50" s="9"/>
      <c r="S50" s="9"/>
      <c r="T50" s="9"/>
      <c r="U50" s="9"/>
      <c r="V50" s="9"/>
      <c r="W50" s="9"/>
      <c r="X50" s="9"/>
      <c r="Y50" s="9"/>
      <c r="Z50" s="9"/>
      <c r="AA50" s="9"/>
      <c r="AB50" s="9"/>
      <c r="AC50" s="9"/>
      <c r="AD50" s="9"/>
      <c r="AE50" s="9"/>
      <c r="AF50" s="9"/>
      <c r="AG50" s="9"/>
    </row>
    <row r="51" spans="1:33" ht="30" customHeight="1" x14ac:dyDescent="0.35">
      <c r="A51" s="11"/>
      <c r="B51" s="12"/>
      <c r="C51" s="27"/>
      <c r="D51" s="235" t="s">
        <v>109</v>
      </c>
      <c r="E51" s="232"/>
      <c r="F51" s="232"/>
      <c r="G51" s="232"/>
      <c r="H51" s="232"/>
      <c r="I51" s="233"/>
      <c r="J51" s="173"/>
      <c r="K51" s="174">
        <f t="shared" ref="K51:P51" si="29">COUNTIF(K49:K50,"Y")</f>
        <v>0</v>
      </c>
      <c r="L51" s="174">
        <f t="shared" si="29"/>
        <v>0</v>
      </c>
      <c r="M51" s="174">
        <f t="shared" si="29"/>
        <v>0</v>
      </c>
      <c r="N51" s="174">
        <f t="shared" si="29"/>
        <v>0</v>
      </c>
      <c r="O51" s="174">
        <f t="shared" si="29"/>
        <v>0</v>
      </c>
      <c r="P51" s="174">
        <f t="shared" si="29"/>
        <v>0</v>
      </c>
      <c r="Q51" s="9"/>
      <c r="R51" s="9"/>
      <c r="S51" s="9"/>
      <c r="T51" s="9"/>
      <c r="U51" s="9"/>
      <c r="V51" s="9"/>
      <c r="W51" s="9"/>
      <c r="X51" s="9"/>
      <c r="Y51" s="9"/>
      <c r="Z51" s="9"/>
      <c r="AA51" s="9"/>
      <c r="AB51" s="9"/>
      <c r="AC51" s="9"/>
      <c r="AD51" s="9"/>
      <c r="AE51" s="9"/>
      <c r="AF51" s="9"/>
      <c r="AG51" s="9"/>
    </row>
    <row r="52" spans="1:33" ht="30" customHeight="1" x14ac:dyDescent="0.35">
      <c r="A52" s="23"/>
      <c r="B52" s="21"/>
      <c r="C52" s="28"/>
      <c r="D52" s="231" t="s">
        <v>110</v>
      </c>
      <c r="E52" s="232"/>
      <c r="F52" s="232"/>
      <c r="G52" s="232"/>
      <c r="H52" s="232"/>
      <c r="I52" s="233"/>
      <c r="J52" s="173"/>
      <c r="K52" s="175">
        <f t="shared" ref="K52:P52" si="30">100*K51/2</f>
        <v>0</v>
      </c>
      <c r="L52" s="175">
        <f t="shared" si="30"/>
        <v>0</v>
      </c>
      <c r="M52" s="175">
        <f t="shared" si="30"/>
        <v>0</v>
      </c>
      <c r="N52" s="175">
        <f t="shared" si="30"/>
        <v>0</v>
      </c>
      <c r="O52" s="175">
        <f t="shared" si="30"/>
        <v>0</v>
      </c>
      <c r="P52" s="175">
        <f t="shared" si="30"/>
        <v>0</v>
      </c>
      <c r="Q52" s="9"/>
      <c r="R52" s="9"/>
      <c r="S52" s="9"/>
      <c r="T52" s="9"/>
      <c r="U52" s="9"/>
      <c r="V52" s="9"/>
      <c r="W52" s="9"/>
      <c r="X52" s="9"/>
      <c r="Y52" s="9"/>
      <c r="Z52" s="9"/>
      <c r="AA52" s="9"/>
      <c r="AB52" s="9"/>
      <c r="AC52" s="9"/>
      <c r="AD52" s="9"/>
      <c r="AE52" s="9"/>
      <c r="AF52" s="9"/>
      <c r="AG52" s="9"/>
    </row>
    <row r="53" spans="1:33" ht="30" customHeight="1" x14ac:dyDescent="0.35">
      <c r="A53" s="23"/>
      <c r="B53" s="21"/>
      <c r="C53" s="28"/>
      <c r="D53" s="234" t="s">
        <v>111</v>
      </c>
      <c r="E53" s="232"/>
      <c r="F53" s="232"/>
      <c r="G53" s="232"/>
      <c r="H53" s="232"/>
      <c r="I53" s="233"/>
      <c r="J53" s="173"/>
      <c r="K53" s="176" t="str">
        <f t="shared" ref="K53:P53" si="31">IF((K52&gt;50),3,IF(AND(K52&gt;0,K52&lt;=50),1,IF(AND(K52=0,K52&lt;0),"-","-")))</f>
        <v>-</v>
      </c>
      <c r="L53" s="176" t="str">
        <f t="shared" si="31"/>
        <v>-</v>
      </c>
      <c r="M53" s="176" t="str">
        <f t="shared" si="31"/>
        <v>-</v>
      </c>
      <c r="N53" s="176" t="str">
        <f t="shared" si="31"/>
        <v>-</v>
      </c>
      <c r="O53" s="176" t="str">
        <f t="shared" si="31"/>
        <v>-</v>
      </c>
      <c r="P53" s="176" t="str">
        <f t="shared" si="31"/>
        <v>-</v>
      </c>
      <c r="Q53" s="9"/>
      <c r="R53" s="9"/>
      <c r="S53" s="9"/>
      <c r="T53" s="9"/>
      <c r="U53" s="9"/>
      <c r="V53" s="9"/>
      <c r="W53" s="9"/>
      <c r="X53" s="9"/>
      <c r="Y53" s="9"/>
      <c r="Z53" s="9"/>
      <c r="AA53" s="9"/>
      <c r="AB53" s="9"/>
      <c r="AC53" s="9"/>
      <c r="AD53" s="9"/>
      <c r="AE53" s="9"/>
      <c r="AF53" s="9"/>
      <c r="AG53" s="9"/>
    </row>
    <row r="54" spans="1:33" ht="30" customHeight="1" x14ac:dyDescent="0.35">
      <c r="A54" s="254" t="s">
        <v>36</v>
      </c>
      <c r="B54" s="8" t="s">
        <v>71</v>
      </c>
      <c r="C54" s="29"/>
      <c r="D54" s="177"/>
      <c r="E54" s="177"/>
      <c r="F54" s="177"/>
      <c r="G54" s="177"/>
      <c r="H54" s="177"/>
      <c r="I54" s="177"/>
      <c r="J54" s="172"/>
      <c r="K54" s="172" t="str">
        <f t="shared" ref="K54:P56" si="32">IF(D54="","","Y")</f>
        <v/>
      </c>
      <c r="L54" s="172" t="str">
        <f t="shared" si="32"/>
        <v/>
      </c>
      <c r="M54" s="172" t="str">
        <f t="shared" si="32"/>
        <v/>
      </c>
      <c r="N54" s="172" t="str">
        <f t="shared" si="32"/>
        <v/>
      </c>
      <c r="O54" s="172" t="str">
        <f t="shared" si="32"/>
        <v/>
      </c>
      <c r="P54" s="172" t="str">
        <f t="shared" si="32"/>
        <v/>
      </c>
      <c r="Q54" s="9"/>
      <c r="R54" s="9"/>
      <c r="S54" s="9"/>
      <c r="T54" s="9"/>
      <c r="U54" s="9"/>
      <c r="V54" s="9"/>
      <c r="W54" s="9"/>
      <c r="X54" s="9"/>
      <c r="Y54" s="9"/>
      <c r="Z54" s="9"/>
      <c r="AA54" s="9"/>
      <c r="AB54" s="9"/>
      <c r="AC54" s="9"/>
      <c r="AD54" s="9"/>
      <c r="AE54" s="9"/>
      <c r="AF54" s="9"/>
      <c r="AG54" s="9"/>
    </row>
    <row r="55" spans="1:33" ht="30" customHeight="1" x14ac:dyDescent="0.35">
      <c r="A55" s="255"/>
      <c r="B55" s="8" t="s">
        <v>72</v>
      </c>
      <c r="C55" s="29"/>
      <c r="D55" s="177"/>
      <c r="E55" s="177"/>
      <c r="F55" s="177"/>
      <c r="G55" s="177"/>
      <c r="H55" s="177"/>
      <c r="I55" s="177"/>
      <c r="J55" s="172"/>
      <c r="K55" s="172" t="str">
        <f t="shared" si="32"/>
        <v/>
      </c>
      <c r="L55" s="172" t="str">
        <f t="shared" si="32"/>
        <v/>
      </c>
      <c r="M55" s="172" t="str">
        <f t="shared" si="32"/>
        <v/>
      </c>
      <c r="N55" s="172" t="str">
        <f t="shared" si="32"/>
        <v/>
      </c>
      <c r="O55" s="172" t="str">
        <f t="shared" si="32"/>
        <v/>
      </c>
      <c r="P55" s="172" t="str">
        <f t="shared" si="32"/>
        <v/>
      </c>
      <c r="Q55" s="9"/>
      <c r="R55" s="9"/>
      <c r="S55" s="9"/>
      <c r="T55" s="9"/>
      <c r="U55" s="9"/>
      <c r="V55" s="9"/>
      <c r="W55" s="9"/>
      <c r="X55" s="9"/>
      <c r="Y55" s="9"/>
      <c r="Z55" s="9"/>
      <c r="AA55" s="9"/>
      <c r="AB55" s="9"/>
      <c r="AC55" s="9"/>
      <c r="AD55" s="9"/>
      <c r="AE55" s="9"/>
      <c r="AF55" s="9"/>
      <c r="AG55" s="9"/>
    </row>
    <row r="56" spans="1:33" ht="30" customHeight="1" x14ac:dyDescent="0.35">
      <c r="A56" s="256"/>
      <c r="B56" s="8" t="s">
        <v>73</v>
      </c>
      <c r="C56" s="29"/>
      <c r="D56" s="177"/>
      <c r="E56" s="177"/>
      <c r="F56" s="177"/>
      <c r="G56" s="177"/>
      <c r="H56" s="177"/>
      <c r="I56" s="177"/>
      <c r="J56" s="172"/>
      <c r="K56" s="172" t="str">
        <f t="shared" si="32"/>
        <v/>
      </c>
      <c r="L56" s="172" t="str">
        <f t="shared" si="32"/>
        <v/>
      </c>
      <c r="M56" s="172" t="str">
        <f t="shared" si="32"/>
        <v/>
      </c>
      <c r="N56" s="172" t="str">
        <f t="shared" si="32"/>
        <v/>
      </c>
      <c r="O56" s="172" t="str">
        <f t="shared" si="32"/>
        <v/>
      </c>
      <c r="P56" s="172" t="str">
        <f t="shared" si="32"/>
        <v/>
      </c>
      <c r="Q56" s="9"/>
      <c r="R56" s="9"/>
      <c r="S56" s="9"/>
      <c r="T56" s="9"/>
      <c r="U56" s="9"/>
      <c r="V56" s="9"/>
      <c r="W56" s="9"/>
      <c r="X56" s="9"/>
      <c r="Y56" s="9"/>
      <c r="Z56" s="9"/>
      <c r="AA56" s="9"/>
      <c r="AB56" s="9"/>
      <c r="AC56" s="9"/>
      <c r="AD56" s="9"/>
      <c r="AE56" s="9"/>
      <c r="AF56" s="9"/>
      <c r="AG56" s="9"/>
    </row>
    <row r="57" spans="1:33" ht="30" customHeight="1" x14ac:dyDescent="0.35">
      <c r="A57" s="11"/>
      <c r="B57" s="12"/>
      <c r="C57" s="27"/>
      <c r="D57" s="235" t="s">
        <v>112</v>
      </c>
      <c r="E57" s="232"/>
      <c r="F57" s="232"/>
      <c r="G57" s="232"/>
      <c r="H57" s="232"/>
      <c r="I57" s="233"/>
      <c r="J57" s="173"/>
      <c r="K57" s="174">
        <f t="shared" ref="K57:P57" si="33">COUNTIF(K53:K56,"Y")</f>
        <v>0</v>
      </c>
      <c r="L57" s="174">
        <f t="shared" si="33"/>
        <v>0</v>
      </c>
      <c r="M57" s="174">
        <f t="shared" si="33"/>
        <v>0</v>
      </c>
      <c r="N57" s="174">
        <f t="shared" si="33"/>
        <v>0</v>
      </c>
      <c r="O57" s="174">
        <f t="shared" si="33"/>
        <v>0</v>
      </c>
      <c r="P57" s="174">
        <f t="shared" si="33"/>
        <v>0</v>
      </c>
      <c r="Q57" s="9"/>
      <c r="R57" s="9"/>
      <c r="S57" s="9"/>
      <c r="T57" s="9"/>
      <c r="U57" s="9"/>
      <c r="V57" s="9"/>
      <c r="W57" s="9"/>
      <c r="X57" s="9"/>
      <c r="Y57" s="9"/>
      <c r="Z57" s="9"/>
      <c r="AA57" s="9"/>
      <c r="AB57" s="9"/>
      <c r="AC57" s="9"/>
      <c r="AD57" s="9"/>
      <c r="AE57" s="9"/>
      <c r="AF57" s="9"/>
      <c r="AG57" s="9"/>
    </row>
    <row r="58" spans="1:33" ht="30" customHeight="1" x14ac:dyDescent="0.35">
      <c r="A58" s="23"/>
      <c r="B58" s="21"/>
      <c r="C58" s="28"/>
      <c r="D58" s="231" t="s">
        <v>113</v>
      </c>
      <c r="E58" s="232"/>
      <c r="F58" s="232"/>
      <c r="G58" s="232"/>
      <c r="H58" s="232"/>
      <c r="I58" s="233"/>
      <c r="J58" s="173"/>
      <c r="K58" s="175">
        <f t="shared" ref="K58:P58" si="34">100*K57/4</f>
        <v>0</v>
      </c>
      <c r="L58" s="175">
        <f t="shared" si="34"/>
        <v>0</v>
      </c>
      <c r="M58" s="175">
        <f t="shared" si="34"/>
        <v>0</v>
      </c>
      <c r="N58" s="175">
        <f t="shared" si="34"/>
        <v>0</v>
      </c>
      <c r="O58" s="175">
        <f t="shared" si="34"/>
        <v>0</v>
      </c>
      <c r="P58" s="175">
        <f t="shared" si="34"/>
        <v>0</v>
      </c>
      <c r="Q58" s="9"/>
      <c r="R58" s="9"/>
      <c r="S58" s="9"/>
      <c r="T58" s="9"/>
      <c r="U58" s="9"/>
      <c r="V58" s="9"/>
      <c r="W58" s="9"/>
      <c r="X58" s="9"/>
      <c r="Y58" s="9"/>
      <c r="Z58" s="9"/>
      <c r="AA58" s="9"/>
      <c r="AB58" s="9"/>
      <c r="AC58" s="9"/>
      <c r="AD58" s="9"/>
      <c r="AE58" s="9"/>
      <c r="AF58" s="9"/>
      <c r="AG58" s="9"/>
    </row>
    <row r="59" spans="1:33" ht="30" customHeight="1" x14ac:dyDescent="0.35">
      <c r="A59" s="23"/>
      <c r="B59" s="21"/>
      <c r="C59" s="28"/>
      <c r="D59" s="234" t="s">
        <v>114</v>
      </c>
      <c r="E59" s="232"/>
      <c r="F59" s="232"/>
      <c r="G59" s="232"/>
      <c r="H59" s="232"/>
      <c r="I59" s="233"/>
      <c r="J59" s="173"/>
      <c r="K59" s="176" t="str">
        <f t="shared" ref="K59:P59" si="35">IF((K58&gt;=66),3,IF(AND(K58&gt;=33,K58&lt;66),2,IF(AND(K58&gt;0,K58&lt;33),1,"-")))</f>
        <v>-</v>
      </c>
      <c r="L59" s="176" t="str">
        <f t="shared" si="35"/>
        <v>-</v>
      </c>
      <c r="M59" s="176" t="str">
        <f t="shared" si="35"/>
        <v>-</v>
      </c>
      <c r="N59" s="176" t="str">
        <f t="shared" si="35"/>
        <v>-</v>
      </c>
      <c r="O59" s="176" t="str">
        <f t="shared" si="35"/>
        <v>-</v>
      </c>
      <c r="P59" s="176" t="str">
        <f t="shared" si="35"/>
        <v>-</v>
      </c>
      <c r="Q59" s="9"/>
      <c r="R59" s="9"/>
      <c r="S59" s="9"/>
      <c r="T59" s="9"/>
      <c r="U59" s="9"/>
      <c r="V59" s="9"/>
      <c r="W59" s="9"/>
      <c r="X59" s="9"/>
      <c r="Y59" s="9"/>
      <c r="Z59" s="9"/>
      <c r="AA59" s="9"/>
      <c r="AB59" s="9"/>
      <c r="AC59" s="9"/>
      <c r="AD59" s="9"/>
      <c r="AE59" s="9"/>
      <c r="AF59" s="9"/>
      <c r="AG59" s="9"/>
    </row>
    <row r="60" spans="1:33" ht="30" customHeight="1" x14ac:dyDescent="0.35">
      <c r="A60" s="254" t="s">
        <v>37</v>
      </c>
      <c r="B60" s="8" t="s">
        <v>74</v>
      </c>
      <c r="C60" s="29"/>
      <c r="D60" s="177"/>
      <c r="E60" s="177"/>
      <c r="F60" s="177"/>
      <c r="G60" s="177"/>
      <c r="H60" s="177"/>
      <c r="I60" s="177"/>
      <c r="J60" s="172"/>
      <c r="K60" s="172" t="str">
        <f t="shared" ref="K60:P62" si="36">IF(D60="","","Y")</f>
        <v/>
      </c>
      <c r="L60" s="172" t="str">
        <f t="shared" si="36"/>
        <v/>
      </c>
      <c r="M60" s="172" t="str">
        <f t="shared" si="36"/>
        <v/>
      </c>
      <c r="N60" s="172" t="str">
        <f t="shared" si="36"/>
        <v/>
      </c>
      <c r="O60" s="172" t="str">
        <f t="shared" si="36"/>
        <v/>
      </c>
      <c r="P60" s="172" t="str">
        <f t="shared" si="36"/>
        <v/>
      </c>
      <c r="Q60" s="9"/>
      <c r="R60" s="9"/>
      <c r="S60" s="9"/>
      <c r="T60" s="9"/>
      <c r="U60" s="9"/>
      <c r="V60" s="9"/>
      <c r="W60" s="9"/>
      <c r="X60" s="9"/>
      <c r="Y60" s="9"/>
      <c r="Z60" s="9"/>
      <c r="AA60" s="9"/>
      <c r="AB60" s="9"/>
      <c r="AC60" s="9"/>
      <c r="AD60" s="9"/>
      <c r="AE60" s="9"/>
      <c r="AF60" s="9"/>
      <c r="AG60" s="9"/>
    </row>
    <row r="61" spans="1:33" ht="30" customHeight="1" x14ac:dyDescent="0.35">
      <c r="A61" s="255"/>
      <c r="B61" s="8" t="s">
        <v>75</v>
      </c>
      <c r="C61" s="29"/>
      <c r="D61" s="177"/>
      <c r="E61" s="177"/>
      <c r="F61" s="177"/>
      <c r="G61" s="177"/>
      <c r="H61" s="177"/>
      <c r="I61" s="177"/>
      <c r="J61" s="172"/>
      <c r="K61" s="172" t="str">
        <f t="shared" si="36"/>
        <v/>
      </c>
      <c r="L61" s="172" t="str">
        <f t="shared" si="36"/>
        <v/>
      </c>
      <c r="M61" s="172" t="str">
        <f t="shared" si="36"/>
        <v/>
      </c>
      <c r="N61" s="172" t="str">
        <f t="shared" si="36"/>
        <v/>
      </c>
      <c r="O61" s="172" t="str">
        <f t="shared" si="36"/>
        <v/>
      </c>
      <c r="P61" s="172" t="str">
        <f t="shared" si="36"/>
        <v/>
      </c>
      <c r="Q61" s="9"/>
      <c r="R61" s="9"/>
      <c r="S61" s="9"/>
      <c r="T61" s="9"/>
      <c r="U61" s="9"/>
      <c r="V61" s="9"/>
      <c r="W61" s="9"/>
      <c r="X61" s="9"/>
      <c r="Y61" s="9"/>
      <c r="Z61" s="9"/>
      <c r="AA61" s="9"/>
      <c r="AB61" s="9"/>
      <c r="AC61" s="9"/>
      <c r="AD61" s="9"/>
      <c r="AE61" s="9"/>
      <c r="AF61" s="9"/>
      <c r="AG61" s="9"/>
    </row>
    <row r="62" spans="1:33" ht="30" customHeight="1" x14ac:dyDescent="0.35">
      <c r="A62" s="256"/>
      <c r="B62" s="8" t="s">
        <v>76</v>
      </c>
      <c r="C62" s="29"/>
      <c r="D62" s="177"/>
      <c r="E62" s="177"/>
      <c r="F62" s="177"/>
      <c r="G62" s="177"/>
      <c r="H62" s="177"/>
      <c r="I62" s="177"/>
      <c r="J62" s="172"/>
      <c r="K62" s="172" t="str">
        <f t="shared" si="36"/>
        <v/>
      </c>
      <c r="L62" s="172" t="str">
        <f t="shared" si="36"/>
        <v/>
      </c>
      <c r="M62" s="172" t="str">
        <f t="shared" si="36"/>
        <v/>
      </c>
      <c r="N62" s="172" t="str">
        <f t="shared" si="36"/>
        <v/>
      </c>
      <c r="O62" s="172" t="str">
        <f t="shared" si="36"/>
        <v/>
      </c>
      <c r="P62" s="172" t="str">
        <f t="shared" si="36"/>
        <v/>
      </c>
      <c r="Q62" s="9"/>
      <c r="R62" s="9"/>
      <c r="S62" s="9"/>
      <c r="T62" s="9"/>
      <c r="U62" s="9"/>
      <c r="V62" s="9"/>
      <c r="W62" s="9"/>
      <c r="X62" s="9"/>
      <c r="Y62" s="9"/>
      <c r="Z62" s="9"/>
      <c r="AA62" s="9"/>
      <c r="AB62" s="9"/>
      <c r="AC62" s="9"/>
      <c r="AD62" s="9"/>
      <c r="AE62" s="9"/>
      <c r="AF62" s="9"/>
      <c r="AG62" s="9"/>
    </row>
    <row r="63" spans="1:33" ht="30" customHeight="1" x14ac:dyDescent="0.35">
      <c r="A63" s="11"/>
      <c r="B63" s="12"/>
      <c r="C63" s="27"/>
      <c r="D63" s="235" t="s">
        <v>115</v>
      </c>
      <c r="E63" s="232"/>
      <c r="F63" s="232"/>
      <c r="G63" s="232"/>
      <c r="H63" s="232"/>
      <c r="I63" s="233"/>
      <c r="J63" s="173"/>
      <c r="K63" s="174">
        <f t="shared" ref="K63:P63" si="37">COUNTIF(K59:K62,"Y")</f>
        <v>0</v>
      </c>
      <c r="L63" s="174">
        <f t="shared" si="37"/>
        <v>0</v>
      </c>
      <c r="M63" s="174">
        <f t="shared" si="37"/>
        <v>0</v>
      </c>
      <c r="N63" s="174">
        <f t="shared" si="37"/>
        <v>0</v>
      </c>
      <c r="O63" s="174">
        <f t="shared" si="37"/>
        <v>0</v>
      </c>
      <c r="P63" s="174">
        <f t="shared" si="37"/>
        <v>0</v>
      </c>
      <c r="Q63" s="9"/>
      <c r="R63" s="9"/>
      <c r="S63" s="9"/>
      <c r="T63" s="9"/>
      <c r="U63" s="9"/>
      <c r="V63" s="9"/>
      <c r="W63" s="9"/>
      <c r="X63" s="9"/>
      <c r="Y63" s="9"/>
      <c r="Z63" s="9"/>
      <c r="AA63" s="9"/>
      <c r="AB63" s="9"/>
      <c r="AC63" s="9"/>
      <c r="AD63" s="9"/>
      <c r="AE63" s="9"/>
      <c r="AF63" s="9"/>
      <c r="AG63" s="9"/>
    </row>
    <row r="64" spans="1:33" ht="30" customHeight="1" x14ac:dyDescent="0.35">
      <c r="A64" s="20"/>
      <c r="B64" s="12"/>
      <c r="C64" s="27"/>
      <c r="D64" s="231" t="s">
        <v>116</v>
      </c>
      <c r="E64" s="232"/>
      <c r="F64" s="232"/>
      <c r="G64" s="232"/>
      <c r="H64" s="232"/>
      <c r="I64" s="233"/>
      <c r="J64" s="173"/>
      <c r="K64" s="175">
        <f t="shared" ref="K64:P64" si="38">100*K63/4</f>
        <v>0</v>
      </c>
      <c r="L64" s="175">
        <f t="shared" si="38"/>
        <v>0</v>
      </c>
      <c r="M64" s="175">
        <f t="shared" si="38"/>
        <v>0</v>
      </c>
      <c r="N64" s="175">
        <f t="shared" si="38"/>
        <v>0</v>
      </c>
      <c r="O64" s="175">
        <f t="shared" si="38"/>
        <v>0</v>
      </c>
      <c r="P64" s="175">
        <f t="shared" si="38"/>
        <v>0</v>
      </c>
      <c r="Q64" s="9"/>
      <c r="R64" s="9"/>
      <c r="S64" s="9"/>
      <c r="T64" s="9"/>
      <c r="U64" s="9"/>
      <c r="V64" s="9"/>
      <c r="W64" s="9"/>
      <c r="X64" s="9"/>
      <c r="Y64" s="9"/>
      <c r="Z64" s="9"/>
      <c r="AA64" s="9"/>
      <c r="AB64" s="9"/>
      <c r="AC64" s="9"/>
      <c r="AD64" s="9"/>
      <c r="AE64" s="9"/>
      <c r="AF64" s="9"/>
      <c r="AG64" s="9"/>
    </row>
    <row r="65" spans="1:33" ht="30" customHeight="1" x14ac:dyDescent="0.35">
      <c r="A65" s="20"/>
      <c r="B65" s="12"/>
      <c r="C65" s="27"/>
      <c r="D65" s="234" t="s">
        <v>117</v>
      </c>
      <c r="E65" s="232"/>
      <c r="F65" s="232"/>
      <c r="G65" s="232"/>
      <c r="H65" s="232"/>
      <c r="I65" s="233"/>
      <c r="J65" s="173"/>
      <c r="K65" s="176" t="str">
        <f t="shared" ref="K65:P65" si="39">IF((K64&gt;=66),3,IF(AND(K64&gt;=33,K64&lt;66),2,IF(AND(K64&gt;0,K64&lt;33),1,"-")))</f>
        <v>-</v>
      </c>
      <c r="L65" s="176" t="str">
        <f t="shared" si="39"/>
        <v>-</v>
      </c>
      <c r="M65" s="176" t="str">
        <f t="shared" si="39"/>
        <v>-</v>
      </c>
      <c r="N65" s="176" t="str">
        <f t="shared" si="39"/>
        <v>-</v>
      </c>
      <c r="O65" s="176" t="str">
        <f t="shared" si="39"/>
        <v>-</v>
      </c>
      <c r="P65" s="176" t="str">
        <f t="shared" si="39"/>
        <v>-</v>
      </c>
      <c r="Q65" s="9"/>
      <c r="R65" s="9"/>
      <c r="S65" s="9"/>
      <c r="T65" s="9"/>
      <c r="U65" s="9"/>
      <c r="V65" s="9"/>
      <c r="W65" s="9"/>
      <c r="X65" s="9"/>
      <c r="Y65" s="9"/>
      <c r="Z65" s="9"/>
      <c r="AA65" s="9"/>
      <c r="AB65" s="9"/>
      <c r="AC65" s="9"/>
      <c r="AD65" s="9"/>
      <c r="AE65" s="9"/>
      <c r="AF65" s="9"/>
      <c r="AG65" s="9"/>
    </row>
    <row r="66" spans="1:33" ht="30" customHeight="1" x14ac:dyDescent="0.35">
      <c r="A66" s="249" t="s">
        <v>38</v>
      </c>
      <c r="B66" s="1" t="s">
        <v>77</v>
      </c>
      <c r="C66" s="26"/>
      <c r="D66" s="177"/>
      <c r="E66" s="177"/>
      <c r="F66" s="177"/>
      <c r="G66" s="177"/>
      <c r="H66" s="177"/>
      <c r="I66" s="177"/>
      <c r="J66" s="172"/>
      <c r="K66" s="172" t="str">
        <f t="shared" ref="K66:P68" si="40">IF(D66="","","Y")</f>
        <v/>
      </c>
      <c r="L66" s="172" t="str">
        <f t="shared" si="40"/>
        <v/>
      </c>
      <c r="M66" s="172" t="str">
        <f t="shared" si="40"/>
        <v/>
      </c>
      <c r="N66" s="172" t="str">
        <f t="shared" si="40"/>
        <v/>
      </c>
      <c r="O66" s="172" t="str">
        <f t="shared" si="40"/>
        <v/>
      </c>
      <c r="P66" s="172" t="str">
        <f t="shared" si="40"/>
        <v/>
      </c>
      <c r="Q66" s="9"/>
      <c r="R66" s="9"/>
      <c r="S66" s="9"/>
      <c r="T66" s="9"/>
      <c r="U66" s="9"/>
      <c r="V66" s="9"/>
      <c r="W66" s="9"/>
      <c r="X66" s="9"/>
      <c r="Y66" s="9"/>
      <c r="Z66" s="9"/>
      <c r="AA66" s="9"/>
      <c r="AB66" s="9"/>
      <c r="AC66" s="9"/>
      <c r="AD66" s="9"/>
      <c r="AE66" s="9"/>
      <c r="AF66" s="9"/>
      <c r="AG66" s="9"/>
    </row>
    <row r="67" spans="1:33" ht="30" customHeight="1" x14ac:dyDescent="0.35">
      <c r="A67" s="250"/>
      <c r="B67" s="1" t="s">
        <v>78</v>
      </c>
      <c r="C67" s="26"/>
      <c r="D67" s="177"/>
      <c r="E67" s="177"/>
      <c r="F67" s="177"/>
      <c r="G67" s="177"/>
      <c r="H67" s="177"/>
      <c r="I67" s="177"/>
      <c r="J67" s="172"/>
      <c r="K67" s="172" t="str">
        <f t="shared" si="40"/>
        <v/>
      </c>
      <c r="L67" s="172" t="str">
        <f t="shared" si="40"/>
        <v/>
      </c>
      <c r="M67" s="172" t="str">
        <f t="shared" si="40"/>
        <v/>
      </c>
      <c r="N67" s="172" t="str">
        <f t="shared" si="40"/>
        <v/>
      </c>
      <c r="O67" s="172" t="str">
        <f t="shared" si="40"/>
        <v/>
      </c>
      <c r="P67" s="172" t="str">
        <f t="shared" si="40"/>
        <v/>
      </c>
      <c r="Q67" s="9"/>
      <c r="R67" s="9"/>
      <c r="S67" s="9"/>
      <c r="T67" s="9"/>
      <c r="U67" s="9"/>
      <c r="V67" s="9"/>
      <c r="W67" s="9"/>
      <c r="X67" s="9"/>
      <c r="Y67" s="9"/>
      <c r="Z67" s="9"/>
      <c r="AA67" s="9"/>
      <c r="AB67" s="9"/>
      <c r="AC67" s="9"/>
      <c r="AD67" s="9"/>
      <c r="AE67" s="9"/>
      <c r="AF67" s="9"/>
      <c r="AG67" s="9"/>
    </row>
    <row r="68" spans="1:33" ht="30" customHeight="1" x14ac:dyDescent="0.35">
      <c r="A68" s="251"/>
      <c r="B68" s="1" t="s">
        <v>79</v>
      </c>
      <c r="C68" s="26"/>
      <c r="D68" s="177"/>
      <c r="E68" s="177"/>
      <c r="F68" s="177"/>
      <c r="G68" s="177"/>
      <c r="H68" s="177"/>
      <c r="I68" s="177"/>
      <c r="J68" s="172"/>
      <c r="K68" s="172" t="str">
        <f t="shared" si="40"/>
        <v/>
      </c>
      <c r="L68" s="172" t="str">
        <f t="shared" si="40"/>
        <v/>
      </c>
      <c r="M68" s="172" t="str">
        <f t="shared" si="40"/>
        <v/>
      </c>
      <c r="N68" s="172" t="str">
        <f t="shared" si="40"/>
        <v/>
      </c>
      <c r="O68" s="172" t="str">
        <f t="shared" si="40"/>
        <v/>
      </c>
      <c r="P68" s="172" t="str">
        <f t="shared" si="40"/>
        <v/>
      </c>
      <c r="Q68" s="9"/>
      <c r="R68" s="9"/>
      <c r="S68" s="9"/>
      <c r="T68" s="9"/>
      <c r="U68" s="9"/>
      <c r="V68" s="9"/>
      <c r="W68" s="9"/>
      <c r="X68" s="9"/>
      <c r="Y68" s="9"/>
      <c r="Z68" s="9"/>
      <c r="AA68" s="9"/>
      <c r="AB68" s="9"/>
      <c r="AC68" s="9"/>
      <c r="AD68" s="9"/>
      <c r="AE68" s="9"/>
      <c r="AF68" s="9"/>
      <c r="AG68" s="9"/>
    </row>
    <row r="69" spans="1:33" ht="30" customHeight="1" x14ac:dyDescent="0.35">
      <c r="A69" s="11"/>
      <c r="B69" s="12"/>
      <c r="C69" s="27"/>
      <c r="D69" s="235" t="s">
        <v>118</v>
      </c>
      <c r="E69" s="232"/>
      <c r="F69" s="232"/>
      <c r="G69" s="232"/>
      <c r="H69" s="232"/>
      <c r="I69" s="233"/>
      <c r="J69" s="173"/>
      <c r="K69" s="174">
        <f t="shared" ref="K69:P69" si="41">COUNTIF(K65:K68,"Y")</f>
        <v>0</v>
      </c>
      <c r="L69" s="174">
        <f t="shared" si="41"/>
        <v>0</v>
      </c>
      <c r="M69" s="174">
        <f t="shared" si="41"/>
        <v>0</v>
      </c>
      <c r="N69" s="174">
        <f t="shared" si="41"/>
        <v>0</v>
      </c>
      <c r="O69" s="174">
        <f t="shared" si="41"/>
        <v>0</v>
      </c>
      <c r="P69" s="174">
        <f t="shared" si="41"/>
        <v>0</v>
      </c>
      <c r="Q69" s="9"/>
      <c r="R69" s="9"/>
      <c r="S69" s="9"/>
      <c r="T69" s="9"/>
      <c r="U69" s="9"/>
      <c r="V69" s="9"/>
      <c r="W69" s="9"/>
      <c r="X69" s="9"/>
      <c r="Y69" s="9"/>
      <c r="Z69" s="9"/>
      <c r="AA69" s="9"/>
      <c r="AB69" s="9"/>
      <c r="AC69" s="9"/>
      <c r="AD69" s="9"/>
      <c r="AE69" s="9"/>
      <c r="AF69" s="9"/>
      <c r="AG69" s="9"/>
    </row>
    <row r="70" spans="1:33" ht="30" customHeight="1" x14ac:dyDescent="0.35">
      <c r="A70" s="20"/>
      <c r="B70" s="12"/>
      <c r="C70" s="27"/>
      <c r="D70" s="231" t="s">
        <v>119</v>
      </c>
      <c r="E70" s="232"/>
      <c r="F70" s="232"/>
      <c r="G70" s="232"/>
      <c r="H70" s="232"/>
      <c r="I70" s="233"/>
      <c r="J70" s="173"/>
      <c r="K70" s="175">
        <f t="shared" ref="K70:P70" si="42">100*K69/4</f>
        <v>0</v>
      </c>
      <c r="L70" s="175">
        <f t="shared" si="42"/>
        <v>0</v>
      </c>
      <c r="M70" s="175">
        <f t="shared" si="42"/>
        <v>0</v>
      </c>
      <c r="N70" s="175">
        <f t="shared" si="42"/>
        <v>0</v>
      </c>
      <c r="O70" s="175">
        <f t="shared" si="42"/>
        <v>0</v>
      </c>
      <c r="P70" s="175">
        <f t="shared" si="42"/>
        <v>0</v>
      </c>
      <c r="Q70" s="9"/>
      <c r="R70" s="9"/>
      <c r="S70" s="9"/>
      <c r="T70" s="9"/>
      <c r="U70" s="9"/>
      <c r="V70" s="9"/>
      <c r="W70" s="9"/>
      <c r="X70" s="9"/>
      <c r="Y70" s="9"/>
      <c r="Z70" s="9"/>
      <c r="AA70" s="9"/>
      <c r="AB70" s="9"/>
      <c r="AC70" s="9"/>
      <c r="AD70" s="9"/>
      <c r="AE70" s="9"/>
      <c r="AF70" s="9"/>
      <c r="AG70" s="9"/>
    </row>
    <row r="71" spans="1:33" ht="30" customHeight="1" x14ac:dyDescent="0.35">
      <c r="A71" s="20"/>
      <c r="B71" s="12"/>
      <c r="C71" s="27"/>
      <c r="D71" s="234" t="s">
        <v>120</v>
      </c>
      <c r="E71" s="232"/>
      <c r="F71" s="232"/>
      <c r="G71" s="232"/>
      <c r="H71" s="232"/>
      <c r="I71" s="233"/>
      <c r="J71" s="173"/>
      <c r="K71" s="176" t="str">
        <f t="shared" ref="K71:P71" si="43">IF((K70&gt;=66),3,IF(AND(K70&gt;=33,K70&lt;66),2,IF(AND(K70&gt;0,K70&lt;33),1,"-")))</f>
        <v>-</v>
      </c>
      <c r="L71" s="176" t="str">
        <f t="shared" si="43"/>
        <v>-</v>
      </c>
      <c r="M71" s="176" t="str">
        <f t="shared" si="43"/>
        <v>-</v>
      </c>
      <c r="N71" s="176" t="str">
        <f t="shared" si="43"/>
        <v>-</v>
      </c>
      <c r="O71" s="176" t="str">
        <f t="shared" si="43"/>
        <v>-</v>
      </c>
      <c r="P71" s="176" t="str">
        <f t="shared" si="43"/>
        <v>-</v>
      </c>
      <c r="Q71" s="9"/>
      <c r="R71" s="9"/>
      <c r="S71" s="9"/>
      <c r="T71" s="9"/>
      <c r="U71" s="9"/>
      <c r="V71" s="9"/>
      <c r="W71" s="9"/>
      <c r="X71" s="9"/>
      <c r="Y71" s="9"/>
      <c r="Z71" s="9"/>
      <c r="AA71" s="9"/>
      <c r="AB71" s="9"/>
      <c r="AC71" s="9"/>
      <c r="AD71" s="9"/>
      <c r="AE71" s="9"/>
      <c r="AF71" s="9"/>
      <c r="AG71" s="9"/>
    </row>
    <row r="72" spans="1:33" ht="30" customHeight="1" x14ac:dyDescent="0.35">
      <c r="A72" s="236" t="s">
        <v>39</v>
      </c>
      <c r="B72" s="19" t="s">
        <v>80</v>
      </c>
      <c r="C72" s="26"/>
      <c r="D72" s="177"/>
      <c r="E72" s="177"/>
      <c r="F72" s="177"/>
      <c r="G72" s="177"/>
      <c r="H72" s="177"/>
      <c r="I72" s="177"/>
      <c r="J72" s="172"/>
      <c r="K72" s="172" t="str">
        <f>IF(D72="","","Y")</f>
        <v/>
      </c>
      <c r="L72" s="172" t="str">
        <f t="shared" ref="K72:P74" si="44">IF(E72="","","Y")</f>
        <v/>
      </c>
      <c r="M72" s="172" t="str">
        <f t="shared" si="44"/>
        <v/>
      </c>
      <c r="N72" s="172" t="str">
        <f t="shared" si="44"/>
        <v/>
      </c>
      <c r="O72" s="172" t="str">
        <f t="shared" si="44"/>
        <v/>
      </c>
      <c r="P72" s="172" t="str">
        <f>IF(I72="","","Y")</f>
        <v/>
      </c>
      <c r="Q72" s="9"/>
      <c r="R72" s="9"/>
      <c r="S72" s="9"/>
      <c r="T72" s="9"/>
      <c r="U72" s="9"/>
      <c r="V72" s="9"/>
      <c r="W72" s="9"/>
      <c r="X72" s="9"/>
      <c r="Y72" s="9"/>
      <c r="Z72" s="9"/>
      <c r="AA72" s="9"/>
      <c r="AB72" s="9"/>
      <c r="AC72" s="9"/>
      <c r="AD72" s="9"/>
      <c r="AE72" s="9"/>
      <c r="AF72" s="9"/>
      <c r="AG72" s="9"/>
    </row>
    <row r="73" spans="1:33" ht="30" customHeight="1" x14ac:dyDescent="0.35">
      <c r="A73" s="237"/>
      <c r="B73" s="19" t="s">
        <v>81</v>
      </c>
      <c r="C73" s="26"/>
      <c r="D73" s="177"/>
      <c r="E73" s="177"/>
      <c r="F73" s="177"/>
      <c r="G73" s="177"/>
      <c r="H73" s="177" t="s">
        <v>254</v>
      </c>
      <c r="I73" s="177"/>
      <c r="J73" s="172"/>
      <c r="K73" s="172" t="str">
        <f t="shared" si="44"/>
        <v/>
      </c>
      <c r="L73" s="172" t="str">
        <f t="shared" si="44"/>
        <v/>
      </c>
      <c r="M73" s="172" t="str">
        <f t="shared" si="44"/>
        <v/>
      </c>
      <c r="N73" s="172" t="str">
        <f t="shared" si="44"/>
        <v/>
      </c>
      <c r="O73" s="172" t="str">
        <f t="shared" si="44"/>
        <v>Y</v>
      </c>
      <c r="P73" s="172" t="str">
        <f t="shared" si="44"/>
        <v/>
      </c>
      <c r="Q73" s="9"/>
      <c r="R73" s="9"/>
      <c r="S73" s="9"/>
      <c r="T73" s="9"/>
      <c r="U73" s="9"/>
      <c r="V73" s="9"/>
      <c r="W73" s="9"/>
      <c r="X73" s="9"/>
      <c r="Y73" s="9"/>
      <c r="Z73" s="9"/>
      <c r="AA73" s="9"/>
      <c r="AB73" s="9"/>
      <c r="AC73" s="9"/>
      <c r="AD73" s="9"/>
      <c r="AE73" s="9"/>
      <c r="AF73" s="9"/>
      <c r="AG73" s="9"/>
    </row>
    <row r="74" spans="1:33" ht="30" customHeight="1" x14ac:dyDescent="0.35">
      <c r="A74" s="238"/>
      <c r="B74" s="19" t="s">
        <v>82</v>
      </c>
      <c r="C74" s="26"/>
      <c r="D74" s="177"/>
      <c r="E74" s="177"/>
      <c r="F74" s="177"/>
      <c r="G74" s="177"/>
      <c r="H74" s="177"/>
      <c r="I74" s="177" t="s">
        <v>231</v>
      </c>
      <c r="J74" s="172"/>
      <c r="K74" s="172" t="str">
        <f t="shared" si="44"/>
        <v/>
      </c>
      <c r="L74" s="172" t="str">
        <f t="shared" si="44"/>
        <v/>
      </c>
      <c r="M74" s="172" t="str">
        <f t="shared" si="44"/>
        <v/>
      </c>
      <c r="N74" s="172" t="str">
        <f t="shared" si="44"/>
        <v/>
      </c>
      <c r="O74" s="172" t="str">
        <f t="shared" si="44"/>
        <v/>
      </c>
      <c r="P74" s="172" t="str">
        <f t="shared" si="44"/>
        <v>Y</v>
      </c>
      <c r="Q74" s="9"/>
      <c r="R74" s="9"/>
      <c r="S74" s="9"/>
      <c r="T74" s="9"/>
      <c r="U74" s="9"/>
      <c r="V74" s="9"/>
      <c r="W74" s="9"/>
      <c r="X74" s="9"/>
      <c r="Y74" s="9"/>
      <c r="Z74" s="9"/>
      <c r="AA74" s="9"/>
      <c r="AB74" s="9"/>
      <c r="AC74" s="9"/>
      <c r="AD74" s="9"/>
      <c r="AE74" s="9"/>
      <c r="AF74" s="9"/>
      <c r="AG74" s="9"/>
    </row>
    <row r="75" spans="1:33" ht="30" customHeight="1" x14ac:dyDescent="0.35">
      <c r="A75" s="9"/>
      <c r="B75" s="9"/>
      <c r="C75" s="25"/>
      <c r="D75" s="235" t="s">
        <v>121</v>
      </c>
      <c r="E75" s="232"/>
      <c r="F75" s="232"/>
      <c r="G75" s="232"/>
      <c r="H75" s="232"/>
      <c r="I75" s="233"/>
      <c r="J75" s="173"/>
      <c r="K75" s="174">
        <f t="shared" ref="K75:P75" si="45">COUNTIF(K71:K74,"Y")</f>
        <v>0</v>
      </c>
      <c r="L75" s="174">
        <f t="shared" si="45"/>
        <v>0</v>
      </c>
      <c r="M75" s="174">
        <f t="shared" si="45"/>
        <v>0</v>
      </c>
      <c r="N75" s="174">
        <f t="shared" si="45"/>
        <v>0</v>
      </c>
      <c r="O75" s="174">
        <f t="shared" si="45"/>
        <v>1</v>
      </c>
      <c r="P75" s="174">
        <f t="shared" si="45"/>
        <v>1</v>
      </c>
      <c r="Q75" s="9"/>
      <c r="R75" s="9"/>
      <c r="S75" s="9"/>
      <c r="T75" s="9"/>
      <c r="U75" s="9"/>
      <c r="V75" s="9"/>
      <c r="W75" s="9"/>
      <c r="X75" s="9"/>
      <c r="Y75" s="9"/>
      <c r="Z75" s="9"/>
      <c r="AA75" s="9"/>
      <c r="AB75" s="9"/>
      <c r="AC75" s="9"/>
      <c r="AD75" s="9"/>
      <c r="AE75" s="9"/>
      <c r="AF75" s="9"/>
      <c r="AG75" s="9"/>
    </row>
    <row r="76" spans="1:33" ht="30" customHeight="1" x14ac:dyDescent="0.35">
      <c r="A76" s="9"/>
      <c r="B76" s="9"/>
      <c r="C76" s="25"/>
      <c r="D76" s="231" t="s">
        <v>122</v>
      </c>
      <c r="E76" s="232"/>
      <c r="F76" s="232"/>
      <c r="G76" s="232"/>
      <c r="H76" s="232"/>
      <c r="I76" s="233"/>
      <c r="J76" s="173"/>
      <c r="K76" s="175">
        <f t="shared" ref="K76:P76" si="46">100*K75/4</f>
        <v>0</v>
      </c>
      <c r="L76" s="175">
        <f t="shared" si="46"/>
        <v>0</v>
      </c>
      <c r="M76" s="175">
        <f t="shared" si="46"/>
        <v>0</v>
      </c>
      <c r="N76" s="175">
        <f t="shared" si="46"/>
        <v>0</v>
      </c>
      <c r="O76" s="175">
        <f t="shared" si="46"/>
        <v>25</v>
      </c>
      <c r="P76" s="175">
        <f t="shared" si="46"/>
        <v>25</v>
      </c>
      <c r="Q76" s="9"/>
      <c r="R76" s="9"/>
      <c r="S76" s="9"/>
      <c r="T76" s="9"/>
      <c r="U76" s="9"/>
      <c r="V76" s="9"/>
      <c r="W76" s="9"/>
      <c r="X76" s="9"/>
      <c r="Y76" s="9"/>
      <c r="Z76" s="9"/>
      <c r="AA76" s="9"/>
      <c r="AB76" s="9"/>
      <c r="AC76" s="9"/>
      <c r="AD76" s="9"/>
      <c r="AE76" s="9"/>
      <c r="AF76" s="9"/>
      <c r="AG76" s="9"/>
    </row>
    <row r="77" spans="1:33" ht="30" customHeight="1" x14ac:dyDescent="0.35">
      <c r="A77" s="9"/>
      <c r="B77" s="9"/>
      <c r="C77" s="25"/>
      <c r="D77" s="234" t="s">
        <v>123</v>
      </c>
      <c r="E77" s="232"/>
      <c r="F77" s="232"/>
      <c r="G77" s="232"/>
      <c r="H77" s="232"/>
      <c r="I77" s="233"/>
      <c r="J77" s="173"/>
      <c r="K77" s="176" t="str">
        <f t="shared" ref="K77:P77" si="47">IF((K76&gt;=66),3,IF(AND(K76&gt;=33,K76&lt;66),2,IF(AND(K76&gt;0,K76&lt;33),1,"-")))</f>
        <v>-</v>
      </c>
      <c r="L77" s="176" t="str">
        <f t="shared" si="47"/>
        <v>-</v>
      </c>
      <c r="M77" s="176" t="str">
        <f t="shared" si="47"/>
        <v>-</v>
      </c>
      <c r="N77" s="176" t="str">
        <f t="shared" si="47"/>
        <v>-</v>
      </c>
      <c r="O77" s="176">
        <f t="shared" si="47"/>
        <v>1</v>
      </c>
      <c r="P77" s="176">
        <f t="shared" si="47"/>
        <v>1</v>
      </c>
      <c r="Q77" s="9"/>
      <c r="R77" s="9"/>
      <c r="S77" s="9"/>
      <c r="T77" s="9"/>
      <c r="U77" s="9"/>
      <c r="V77" s="9"/>
      <c r="W77" s="9"/>
      <c r="X77" s="9"/>
      <c r="Y77" s="9"/>
      <c r="Z77" s="9"/>
      <c r="AA77" s="9"/>
      <c r="AB77" s="9"/>
      <c r="AC77" s="9"/>
      <c r="AD77" s="9"/>
      <c r="AE77" s="9"/>
      <c r="AF77" s="9"/>
      <c r="AG77" s="9"/>
    </row>
  </sheetData>
  <mergeCells count="54">
    <mergeCell ref="B1:N1"/>
    <mergeCell ref="B2:N2"/>
    <mergeCell ref="B3:N3"/>
    <mergeCell ref="A6:A9"/>
    <mergeCell ref="A13:A16"/>
    <mergeCell ref="A4:B4"/>
    <mergeCell ref="D4:I4"/>
    <mergeCell ref="K4:P4"/>
    <mergeCell ref="A20:A23"/>
    <mergeCell ref="D10:I10"/>
    <mergeCell ref="D11:I11"/>
    <mergeCell ref="D12:I12"/>
    <mergeCell ref="D17:I17"/>
    <mergeCell ref="D18:I18"/>
    <mergeCell ref="D19:I19"/>
    <mergeCell ref="A72:A74"/>
    <mergeCell ref="A27:A29"/>
    <mergeCell ref="A33:A35"/>
    <mergeCell ref="A39:A40"/>
    <mergeCell ref="A49:A50"/>
    <mergeCell ref="A66:A68"/>
    <mergeCell ref="A44:A45"/>
    <mergeCell ref="A54:A56"/>
    <mergeCell ref="A60:A62"/>
    <mergeCell ref="D24:I24"/>
    <mergeCell ref="D25:I25"/>
    <mergeCell ref="D26:I26"/>
    <mergeCell ref="D30:I30"/>
    <mergeCell ref="D31:I31"/>
    <mergeCell ref="D32:I32"/>
    <mergeCell ref="D36:I36"/>
    <mergeCell ref="D37:I37"/>
    <mergeCell ref="D38:I38"/>
    <mergeCell ref="D41:I41"/>
    <mergeCell ref="D42:I42"/>
    <mergeCell ref="D43:I43"/>
    <mergeCell ref="D46:I46"/>
    <mergeCell ref="D47:I47"/>
    <mergeCell ref="D48:I48"/>
    <mergeCell ref="D51:I51"/>
    <mergeCell ref="D52:I52"/>
    <mergeCell ref="D53:I53"/>
    <mergeCell ref="D57:I57"/>
    <mergeCell ref="D58:I58"/>
    <mergeCell ref="D59:I59"/>
    <mergeCell ref="D63:I63"/>
    <mergeCell ref="D64:I64"/>
    <mergeCell ref="D65:I65"/>
    <mergeCell ref="D69:I69"/>
    <mergeCell ref="D70:I70"/>
    <mergeCell ref="D71:I71"/>
    <mergeCell ref="D75:I75"/>
    <mergeCell ref="D76:I76"/>
    <mergeCell ref="D77:I7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3"/>
  <sheetViews>
    <sheetView topLeftCell="B5" workbookViewId="0">
      <selection activeCell="S13" sqref="S13"/>
    </sheetView>
  </sheetViews>
  <sheetFormatPr defaultColWidth="8.75" defaultRowHeight="15" customHeight="1" x14ac:dyDescent="0.3"/>
  <cols>
    <col min="1" max="1" width="35" style="32" customWidth="1"/>
    <col min="2" max="2" width="47" style="32" customWidth="1"/>
    <col min="3" max="3" width="1.58203125" style="52" customWidth="1"/>
    <col min="4" max="9" width="8.58203125" style="32" customWidth="1"/>
    <col min="10" max="10" width="1.5" style="52" customWidth="1"/>
    <col min="11" max="16" width="7.08203125" style="32" customWidth="1"/>
    <col min="17" max="33" width="7.58203125" style="32" customWidth="1"/>
    <col min="34" max="16384" width="8.75" style="32"/>
  </cols>
  <sheetData>
    <row r="1" spans="1:33" s="31" customFormat="1" ht="15" customHeight="1" x14ac:dyDescent="0.25">
      <c r="B1" s="260"/>
      <c r="C1" s="260"/>
      <c r="D1" s="260"/>
      <c r="E1" s="260"/>
      <c r="F1" s="260"/>
      <c r="G1" s="260"/>
      <c r="H1" s="260"/>
      <c r="I1" s="260"/>
      <c r="J1" s="260"/>
      <c r="K1" s="260"/>
      <c r="L1" s="260"/>
      <c r="M1" s="260"/>
      <c r="N1" s="260"/>
    </row>
    <row r="2" spans="1:33" s="31" customFormat="1" ht="15" customHeight="1" x14ac:dyDescent="0.25">
      <c r="B2" s="261"/>
      <c r="C2" s="261"/>
      <c r="D2" s="261"/>
      <c r="E2" s="261"/>
      <c r="F2" s="261"/>
      <c r="G2" s="261"/>
      <c r="H2" s="261"/>
      <c r="I2" s="261"/>
      <c r="J2" s="261"/>
      <c r="K2" s="261"/>
      <c r="L2" s="261"/>
      <c r="M2" s="261"/>
      <c r="N2" s="261"/>
    </row>
    <row r="3" spans="1:33" s="31" customFormat="1" ht="15" customHeight="1" x14ac:dyDescent="0.25">
      <c r="B3" s="260"/>
      <c r="C3" s="260"/>
      <c r="D3" s="260"/>
      <c r="E3" s="260"/>
      <c r="F3" s="260"/>
      <c r="G3" s="260"/>
      <c r="H3" s="260"/>
      <c r="I3" s="260"/>
      <c r="J3" s="260"/>
      <c r="K3" s="260"/>
      <c r="L3" s="260"/>
      <c r="M3" s="260"/>
      <c r="N3" s="260"/>
      <c r="O3" s="35"/>
      <c r="P3" s="35"/>
    </row>
    <row r="4" spans="1:33" ht="30" customHeight="1" x14ac:dyDescent="0.3">
      <c r="A4" s="265" t="s">
        <v>29</v>
      </c>
      <c r="B4" s="266"/>
      <c r="C4" s="36"/>
      <c r="D4" s="278" t="s">
        <v>124</v>
      </c>
      <c r="E4" s="278"/>
      <c r="F4" s="278"/>
      <c r="G4" s="278"/>
      <c r="H4" s="278"/>
      <c r="I4" s="278"/>
      <c r="J4" s="37"/>
      <c r="K4" s="279" t="s">
        <v>30</v>
      </c>
      <c r="L4" s="280"/>
      <c r="M4" s="280"/>
      <c r="N4" s="280"/>
      <c r="O4" s="281"/>
      <c r="P4" s="282"/>
      <c r="Q4" s="38"/>
      <c r="R4" s="38"/>
      <c r="S4" s="38"/>
      <c r="T4" s="38"/>
      <c r="U4" s="38"/>
      <c r="V4" s="38"/>
      <c r="W4" s="38"/>
      <c r="X4" s="38"/>
      <c r="Y4" s="38"/>
      <c r="Z4" s="38"/>
      <c r="AA4" s="38"/>
      <c r="AB4" s="38"/>
      <c r="AC4" s="38"/>
      <c r="AD4" s="38"/>
      <c r="AE4" s="38"/>
      <c r="AF4" s="38"/>
      <c r="AG4" s="38"/>
    </row>
    <row r="5" spans="1:33" ht="30" customHeight="1" x14ac:dyDescent="0.3">
      <c r="A5" s="34" t="s">
        <v>125</v>
      </c>
      <c r="B5" s="34" t="s">
        <v>46</v>
      </c>
      <c r="C5" s="39"/>
      <c r="D5" s="40" t="s">
        <v>23</v>
      </c>
      <c r="E5" s="40" t="s">
        <v>24</v>
      </c>
      <c r="F5" s="40" t="s">
        <v>25</v>
      </c>
      <c r="G5" s="40" t="s">
        <v>26</v>
      </c>
      <c r="H5" s="40" t="s">
        <v>27</v>
      </c>
      <c r="I5" s="40" t="s">
        <v>28</v>
      </c>
      <c r="J5" s="41"/>
      <c r="K5" s="53" t="s">
        <v>23</v>
      </c>
      <c r="L5" s="53" t="s">
        <v>24</v>
      </c>
      <c r="M5" s="53" t="s">
        <v>25</v>
      </c>
      <c r="N5" s="53" t="s">
        <v>26</v>
      </c>
      <c r="O5" s="53" t="s">
        <v>27</v>
      </c>
      <c r="P5" s="53" t="s">
        <v>28</v>
      </c>
      <c r="Q5" s="38"/>
      <c r="R5" s="38"/>
      <c r="S5" s="38"/>
      <c r="T5" s="38"/>
      <c r="U5" s="38"/>
      <c r="V5" s="38"/>
      <c r="W5" s="38"/>
      <c r="X5" s="38"/>
      <c r="Y5" s="38"/>
      <c r="Z5" s="38"/>
      <c r="AA5" s="38"/>
      <c r="AB5" s="38"/>
      <c r="AC5" s="38"/>
      <c r="AD5" s="38"/>
      <c r="AE5" s="38"/>
      <c r="AF5" s="38"/>
      <c r="AG5" s="38"/>
    </row>
    <row r="6" spans="1:33" ht="30" customHeight="1" x14ac:dyDescent="0.3">
      <c r="A6" s="283" t="s">
        <v>137</v>
      </c>
      <c r="B6" s="42" t="s">
        <v>140</v>
      </c>
      <c r="C6" s="43"/>
      <c r="D6" s="171" t="s">
        <v>255</v>
      </c>
      <c r="E6" s="171" t="s">
        <v>255</v>
      </c>
      <c r="F6" s="171" t="s">
        <v>255</v>
      </c>
      <c r="G6" s="171" t="s">
        <v>255</v>
      </c>
      <c r="H6" s="171" t="s">
        <v>255</v>
      </c>
      <c r="I6" s="171" t="s">
        <v>255</v>
      </c>
      <c r="J6" s="178"/>
      <c r="K6" s="178" t="str">
        <f t="shared" ref="K6:P8" si="0">IF(D6="","","Y")</f>
        <v>Y</v>
      </c>
      <c r="L6" s="178" t="str">
        <f t="shared" si="0"/>
        <v>Y</v>
      </c>
      <c r="M6" s="178" t="str">
        <f t="shared" si="0"/>
        <v>Y</v>
      </c>
      <c r="N6" s="178" t="str">
        <f t="shared" si="0"/>
        <v>Y</v>
      </c>
      <c r="O6" s="178" t="str">
        <f t="shared" si="0"/>
        <v>Y</v>
      </c>
      <c r="P6" s="178" t="str">
        <f t="shared" si="0"/>
        <v>Y</v>
      </c>
      <c r="Q6" s="38"/>
      <c r="R6" s="38"/>
      <c r="S6" s="38"/>
      <c r="T6" s="38"/>
      <c r="U6" s="38"/>
      <c r="V6" s="38"/>
      <c r="W6" s="38"/>
      <c r="X6" s="38"/>
      <c r="Y6" s="38"/>
      <c r="Z6" s="38"/>
      <c r="AA6" s="38"/>
      <c r="AB6" s="38"/>
      <c r="AC6" s="38"/>
      <c r="AD6" s="38"/>
      <c r="AE6" s="38"/>
      <c r="AF6" s="38"/>
      <c r="AG6" s="38"/>
    </row>
    <row r="7" spans="1:33" ht="30" customHeight="1" x14ac:dyDescent="0.3">
      <c r="A7" s="284"/>
      <c r="B7" s="42" t="s">
        <v>141</v>
      </c>
      <c r="C7" s="43"/>
      <c r="D7" s="171" t="s">
        <v>256</v>
      </c>
      <c r="E7" s="171" t="s">
        <v>257</v>
      </c>
      <c r="F7" s="171" t="s">
        <v>230</v>
      </c>
      <c r="G7" s="171" t="s">
        <v>258</v>
      </c>
      <c r="H7" s="171" t="s">
        <v>254</v>
      </c>
      <c r="I7" s="171" t="s">
        <v>231</v>
      </c>
      <c r="J7" s="178"/>
      <c r="K7" s="178" t="str">
        <f t="shared" si="0"/>
        <v>Y</v>
      </c>
      <c r="L7" s="178" t="str">
        <f t="shared" si="0"/>
        <v>Y</v>
      </c>
      <c r="M7" s="178" t="str">
        <f t="shared" si="0"/>
        <v>Y</v>
      </c>
      <c r="N7" s="178" t="str">
        <f t="shared" si="0"/>
        <v>Y</v>
      </c>
      <c r="O7" s="178" t="str">
        <f t="shared" si="0"/>
        <v>Y</v>
      </c>
      <c r="P7" s="178" t="str">
        <f t="shared" si="0"/>
        <v>Y</v>
      </c>
      <c r="Q7" s="38"/>
      <c r="R7" s="38"/>
      <c r="S7" s="38"/>
      <c r="T7" s="38"/>
      <c r="U7" s="38"/>
      <c r="V7" s="38"/>
      <c r="W7" s="38"/>
      <c r="X7" s="38"/>
      <c r="Y7" s="38"/>
      <c r="Z7" s="38"/>
      <c r="AA7" s="38"/>
      <c r="AB7" s="38"/>
      <c r="AC7" s="38"/>
      <c r="AD7" s="38"/>
      <c r="AE7" s="38"/>
      <c r="AF7" s="38"/>
      <c r="AG7" s="38"/>
    </row>
    <row r="8" spans="1:33" ht="30" customHeight="1" x14ac:dyDescent="0.3">
      <c r="A8" s="284"/>
      <c r="B8" s="42" t="s">
        <v>142</v>
      </c>
      <c r="C8" s="43"/>
      <c r="D8" s="171" t="s">
        <v>256</v>
      </c>
      <c r="E8" s="171" t="s">
        <v>259</v>
      </c>
      <c r="F8" s="171" t="s">
        <v>226</v>
      </c>
      <c r="G8" s="171" t="s">
        <v>260</v>
      </c>
      <c r="H8" s="171" t="s">
        <v>254</v>
      </c>
      <c r="I8" s="171" t="s">
        <v>238</v>
      </c>
      <c r="J8" s="178"/>
      <c r="K8" s="178" t="str">
        <f t="shared" si="0"/>
        <v>Y</v>
      </c>
      <c r="L8" s="178" t="str">
        <f t="shared" si="0"/>
        <v>Y</v>
      </c>
      <c r="M8" s="178" t="str">
        <f t="shared" si="0"/>
        <v>Y</v>
      </c>
      <c r="N8" s="178" t="str">
        <f t="shared" si="0"/>
        <v>Y</v>
      </c>
      <c r="O8" s="178" t="str">
        <f t="shared" si="0"/>
        <v>Y</v>
      </c>
      <c r="P8" s="178" t="str">
        <f t="shared" si="0"/>
        <v>Y</v>
      </c>
      <c r="Q8" s="38"/>
      <c r="R8" s="38"/>
      <c r="S8" s="38"/>
      <c r="T8" s="38"/>
      <c r="U8" s="38"/>
      <c r="V8" s="38"/>
      <c r="W8" s="38"/>
      <c r="X8" s="38"/>
      <c r="Y8" s="38"/>
      <c r="Z8" s="38"/>
      <c r="AA8" s="38"/>
      <c r="AB8" s="38"/>
      <c r="AC8" s="38"/>
      <c r="AD8" s="38"/>
      <c r="AE8" s="38"/>
      <c r="AF8" s="38"/>
      <c r="AG8" s="38"/>
    </row>
    <row r="9" spans="1:33" ht="30" customHeight="1" x14ac:dyDescent="0.3">
      <c r="A9" s="44"/>
      <c r="B9" s="45"/>
      <c r="C9" s="46"/>
      <c r="D9" s="272" t="s">
        <v>126</v>
      </c>
      <c r="E9" s="232"/>
      <c r="F9" s="232"/>
      <c r="G9" s="232"/>
      <c r="H9" s="232"/>
      <c r="I9" s="233"/>
      <c r="J9" s="179"/>
      <c r="K9" s="180">
        <f t="shared" ref="K9:P9" si="1">COUNTIF(K6:K8,"Y")</f>
        <v>3</v>
      </c>
      <c r="L9" s="180">
        <f t="shared" si="1"/>
        <v>3</v>
      </c>
      <c r="M9" s="180">
        <f t="shared" si="1"/>
        <v>3</v>
      </c>
      <c r="N9" s="180">
        <f t="shared" si="1"/>
        <v>3</v>
      </c>
      <c r="O9" s="180">
        <f t="shared" si="1"/>
        <v>3</v>
      </c>
      <c r="P9" s="180">
        <f t="shared" si="1"/>
        <v>3</v>
      </c>
      <c r="Q9" s="38"/>
      <c r="R9" s="38"/>
      <c r="S9" s="38"/>
      <c r="T9" s="38"/>
      <c r="U9" s="38"/>
      <c r="V9" s="38"/>
      <c r="W9" s="38"/>
      <c r="X9" s="38"/>
      <c r="Y9" s="38"/>
      <c r="Z9" s="38"/>
      <c r="AA9" s="38"/>
      <c r="AB9" s="38"/>
      <c r="AC9" s="38"/>
      <c r="AD9" s="38"/>
      <c r="AE9" s="38"/>
      <c r="AF9" s="38"/>
      <c r="AG9" s="38"/>
    </row>
    <row r="10" spans="1:33" ht="30" customHeight="1" x14ac:dyDescent="0.3">
      <c r="A10" s="47"/>
      <c r="B10" s="48"/>
      <c r="C10" s="49"/>
      <c r="D10" s="273" t="s">
        <v>127</v>
      </c>
      <c r="E10" s="232"/>
      <c r="F10" s="232"/>
      <c r="G10" s="232"/>
      <c r="H10" s="232"/>
      <c r="I10" s="233"/>
      <c r="J10" s="179"/>
      <c r="K10" s="181">
        <f t="shared" ref="K10:P10" si="2">100*K9/4</f>
        <v>75</v>
      </c>
      <c r="L10" s="181">
        <f t="shared" si="2"/>
        <v>75</v>
      </c>
      <c r="M10" s="181">
        <f t="shared" si="2"/>
        <v>75</v>
      </c>
      <c r="N10" s="181">
        <f t="shared" si="2"/>
        <v>75</v>
      </c>
      <c r="O10" s="181">
        <f t="shared" si="2"/>
        <v>75</v>
      </c>
      <c r="P10" s="181">
        <f t="shared" si="2"/>
        <v>75</v>
      </c>
      <c r="Q10" s="38"/>
      <c r="R10" s="38"/>
      <c r="S10" s="38"/>
      <c r="T10" s="38"/>
      <c r="U10" s="38"/>
      <c r="V10" s="38"/>
      <c r="W10" s="38"/>
      <c r="X10" s="38"/>
      <c r="Y10" s="38"/>
      <c r="Z10" s="38"/>
      <c r="AA10" s="38"/>
      <c r="AB10" s="38"/>
      <c r="AC10" s="38"/>
      <c r="AD10" s="38"/>
      <c r="AE10" s="38"/>
      <c r="AF10" s="38"/>
      <c r="AG10" s="38"/>
    </row>
    <row r="11" spans="1:33" ht="30" customHeight="1" x14ac:dyDescent="0.3">
      <c r="A11" s="47"/>
      <c r="B11" s="48"/>
      <c r="C11" s="49"/>
      <c r="D11" s="274" t="s">
        <v>128</v>
      </c>
      <c r="E11" s="232"/>
      <c r="F11" s="232"/>
      <c r="G11" s="232"/>
      <c r="H11" s="232"/>
      <c r="I11" s="233"/>
      <c r="J11" s="179"/>
      <c r="K11" s="182">
        <f t="shared" ref="K11:P11" si="3">IF((K10&gt;=66),3,IF(AND(K10&gt;=33,K10&lt;66),2,IF(AND(K10&gt;0,K10&lt;33),1,"-")))</f>
        <v>3</v>
      </c>
      <c r="L11" s="182">
        <f t="shared" si="3"/>
        <v>3</v>
      </c>
      <c r="M11" s="182">
        <f t="shared" si="3"/>
        <v>3</v>
      </c>
      <c r="N11" s="182">
        <f t="shared" si="3"/>
        <v>3</v>
      </c>
      <c r="O11" s="182">
        <f t="shared" si="3"/>
        <v>3</v>
      </c>
      <c r="P11" s="182">
        <f t="shared" si="3"/>
        <v>3</v>
      </c>
      <c r="Q11" s="38"/>
      <c r="R11" s="38"/>
      <c r="S11" s="38"/>
      <c r="T11" s="38"/>
      <c r="U11" s="38"/>
      <c r="V11" s="38"/>
      <c r="W11" s="38"/>
      <c r="X11" s="38"/>
      <c r="Y11" s="38"/>
      <c r="Z11" s="38"/>
      <c r="AA11" s="38"/>
      <c r="AB11" s="38"/>
      <c r="AC11" s="38"/>
      <c r="AD11" s="38"/>
      <c r="AE11" s="38"/>
      <c r="AF11" s="38"/>
      <c r="AG11" s="38"/>
    </row>
    <row r="12" spans="1:33" ht="30" customHeight="1" x14ac:dyDescent="0.3">
      <c r="A12" s="283" t="s">
        <v>138</v>
      </c>
      <c r="B12" s="50" t="s">
        <v>143</v>
      </c>
      <c r="C12" s="51"/>
      <c r="D12" s="171"/>
      <c r="E12" s="171"/>
      <c r="F12" s="171"/>
      <c r="G12" s="171"/>
      <c r="H12" s="171"/>
      <c r="I12" s="171"/>
      <c r="J12" s="178"/>
      <c r="K12" s="178" t="str">
        <f t="shared" ref="K12:P14" si="4">IF(D12="","","Y")</f>
        <v/>
      </c>
      <c r="L12" s="178" t="str">
        <f t="shared" si="4"/>
        <v/>
      </c>
      <c r="M12" s="178" t="str">
        <f t="shared" si="4"/>
        <v/>
      </c>
      <c r="N12" s="178" t="str">
        <f t="shared" si="4"/>
        <v/>
      </c>
      <c r="O12" s="178" t="str">
        <f t="shared" si="4"/>
        <v/>
      </c>
      <c r="P12" s="178" t="str">
        <f t="shared" si="4"/>
        <v/>
      </c>
      <c r="Q12" s="38"/>
      <c r="R12" s="38"/>
      <c r="S12" s="38"/>
      <c r="T12" s="38"/>
      <c r="U12" s="38"/>
      <c r="V12" s="38"/>
      <c r="W12" s="38"/>
      <c r="X12" s="38"/>
      <c r="Y12" s="38"/>
      <c r="Z12" s="38"/>
      <c r="AA12" s="38"/>
      <c r="AB12" s="38"/>
      <c r="AC12" s="38"/>
      <c r="AD12" s="38"/>
      <c r="AE12" s="38"/>
      <c r="AF12" s="38"/>
      <c r="AG12" s="38"/>
    </row>
    <row r="13" spans="1:33" ht="30" customHeight="1" x14ac:dyDescent="0.3">
      <c r="A13" s="284"/>
      <c r="B13" s="50" t="s">
        <v>144</v>
      </c>
      <c r="C13" s="51"/>
      <c r="D13" s="171" t="s">
        <v>261</v>
      </c>
      <c r="E13" s="171" t="s">
        <v>262</v>
      </c>
      <c r="F13" s="171" t="s">
        <v>263</v>
      </c>
      <c r="G13" s="171" t="s">
        <v>226</v>
      </c>
      <c r="H13" s="171" t="s">
        <v>264</v>
      </c>
      <c r="I13" s="171" t="s">
        <v>231</v>
      </c>
      <c r="J13" s="178"/>
      <c r="K13" s="178" t="str">
        <f t="shared" si="4"/>
        <v>Y</v>
      </c>
      <c r="L13" s="178" t="str">
        <f t="shared" si="4"/>
        <v>Y</v>
      </c>
      <c r="M13" s="178" t="str">
        <f t="shared" si="4"/>
        <v>Y</v>
      </c>
      <c r="N13" s="178" t="str">
        <f t="shared" si="4"/>
        <v>Y</v>
      </c>
      <c r="O13" s="178" t="str">
        <f t="shared" si="4"/>
        <v>Y</v>
      </c>
      <c r="P13" s="178" t="str">
        <f t="shared" si="4"/>
        <v>Y</v>
      </c>
      <c r="Q13" s="38"/>
      <c r="R13" s="38"/>
      <c r="S13" s="38"/>
      <c r="T13" s="38"/>
      <c r="U13" s="38"/>
      <c r="V13" s="38"/>
      <c r="W13" s="38"/>
      <c r="X13" s="38"/>
      <c r="Y13" s="38"/>
      <c r="Z13" s="38"/>
      <c r="AA13" s="38"/>
      <c r="AB13" s="38"/>
      <c r="AC13" s="38"/>
      <c r="AD13" s="38"/>
      <c r="AE13" s="38"/>
      <c r="AF13" s="38"/>
      <c r="AG13" s="38"/>
    </row>
    <row r="14" spans="1:33" ht="30" customHeight="1" x14ac:dyDescent="0.3">
      <c r="A14" s="284"/>
      <c r="B14" s="50" t="s">
        <v>145</v>
      </c>
      <c r="C14" s="51"/>
      <c r="D14" s="171" t="s">
        <v>261</v>
      </c>
      <c r="E14" s="171" t="s">
        <v>262</v>
      </c>
      <c r="F14" s="171" t="s">
        <v>263</v>
      </c>
      <c r="G14" s="171" t="s">
        <v>226</v>
      </c>
      <c r="H14" s="171" t="s">
        <v>264</v>
      </c>
      <c r="I14" s="171" t="s">
        <v>231</v>
      </c>
      <c r="J14" s="178"/>
      <c r="K14" s="178" t="str">
        <f t="shared" si="4"/>
        <v>Y</v>
      </c>
      <c r="L14" s="178" t="str">
        <f t="shared" si="4"/>
        <v>Y</v>
      </c>
      <c r="M14" s="178" t="str">
        <f t="shared" si="4"/>
        <v>Y</v>
      </c>
      <c r="N14" s="178" t="str">
        <f t="shared" si="4"/>
        <v>Y</v>
      </c>
      <c r="O14" s="178" t="str">
        <f t="shared" si="4"/>
        <v>Y</v>
      </c>
      <c r="P14" s="178" t="str">
        <f t="shared" si="4"/>
        <v>Y</v>
      </c>
      <c r="Q14" s="38"/>
      <c r="R14" s="38"/>
      <c r="S14" s="38"/>
      <c r="T14" s="38"/>
      <c r="U14" s="38"/>
      <c r="V14" s="38"/>
      <c r="W14" s="38"/>
      <c r="X14" s="38"/>
      <c r="Y14" s="38"/>
      <c r="Z14" s="38"/>
      <c r="AA14" s="38"/>
      <c r="AB14" s="38"/>
      <c r="AC14" s="38"/>
      <c r="AD14" s="38"/>
      <c r="AE14" s="38"/>
      <c r="AF14" s="38"/>
      <c r="AG14" s="38"/>
    </row>
    <row r="15" spans="1:33" ht="30" customHeight="1" x14ac:dyDescent="0.3">
      <c r="A15" s="44"/>
      <c r="B15" s="45"/>
      <c r="C15" s="46"/>
      <c r="D15" s="272" t="s">
        <v>129</v>
      </c>
      <c r="E15" s="232"/>
      <c r="F15" s="232"/>
      <c r="G15" s="232"/>
      <c r="H15" s="232"/>
      <c r="I15" s="233"/>
      <c r="J15" s="179"/>
      <c r="K15" s="180">
        <f t="shared" ref="K15:P15" si="5">COUNTIF(K12:K14,"Y")</f>
        <v>2</v>
      </c>
      <c r="L15" s="180">
        <f t="shared" si="5"/>
        <v>2</v>
      </c>
      <c r="M15" s="180">
        <f t="shared" si="5"/>
        <v>2</v>
      </c>
      <c r="N15" s="180">
        <f t="shared" si="5"/>
        <v>2</v>
      </c>
      <c r="O15" s="180">
        <f t="shared" si="5"/>
        <v>2</v>
      </c>
      <c r="P15" s="180">
        <f t="shared" si="5"/>
        <v>2</v>
      </c>
      <c r="Q15" s="38"/>
      <c r="R15" s="38"/>
      <c r="S15" s="38"/>
      <c r="T15" s="38"/>
      <c r="U15" s="38"/>
      <c r="V15" s="38"/>
      <c r="W15" s="38"/>
      <c r="X15" s="38"/>
      <c r="Y15" s="38"/>
      <c r="Z15" s="38"/>
      <c r="AA15" s="38"/>
      <c r="AB15" s="38"/>
      <c r="AC15" s="38"/>
      <c r="AD15" s="38"/>
      <c r="AE15" s="38"/>
      <c r="AF15" s="38"/>
      <c r="AG15" s="38"/>
    </row>
    <row r="16" spans="1:33" ht="30" customHeight="1" x14ac:dyDescent="0.3">
      <c r="A16" s="47"/>
      <c r="B16" s="48"/>
      <c r="C16" s="49"/>
      <c r="D16" s="273" t="s">
        <v>130</v>
      </c>
      <c r="E16" s="232"/>
      <c r="F16" s="232"/>
      <c r="G16" s="232"/>
      <c r="H16" s="232"/>
      <c r="I16" s="233"/>
      <c r="J16" s="179"/>
      <c r="K16" s="181">
        <f t="shared" ref="K16:P16" si="6">100*K15/4</f>
        <v>50</v>
      </c>
      <c r="L16" s="181">
        <f t="shared" si="6"/>
        <v>50</v>
      </c>
      <c r="M16" s="181">
        <f t="shared" si="6"/>
        <v>50</v>
      </c>
      <c r="N16" s="181">
        <f t="shared" si="6"/>
        <v>50</v>
      </c>
      <c r="O16" s="181">
        <f t="shared" si="6"/>
        <v>50</v>
      </c>
      <c r="P16" s="181">
        <f t="shared" si="6"/>
        <v>50</v>
      </c>
      <c r="Q16" s="38"/>
      <c r="R16" s="38"/>
      <c r="S16" s="38"/>
      <c r="T16" s="38"/>
      <c r="U16" s="38"/>
      <c r="V16" s="38"/>
      <c r="W16" s="38"/>
      <c r="X16" s="38"/>
      <c r="Y16" s="38"/>
      <c r="Z16" s="38"/>
      <c r="AA16" s="38"/>
      <c r="AB16" s="38"/>
      <c r="AC16" s="38"/>
      <c r="AD16" s="38"/>
      <c r="AE16" s="38"/>
      <c r="AF16" s="38"/>
      <c r="AG16" s="38"/>
    </row>
    <row r="17" spans="1:33" ht="30" customHeight="1" x14ac:dyDescent="0.3">
      <c r="A17" s="47"/>
      <c r="B17" s="48"/>
      <c r="C17" s="49"/>
      <c r="D17" s="274" t="s">
        <v>131</v>
      </c>
      <c r="E17" s="232"/>
      <c r="F17" s="232"/>
      <c r="G17" s="232"/>
      <c r="H17" s="232"/>
      <c r="I17" s="233"/>
      <c r="J17" s="179"/>
      <c r="K17" s="182">
        <f t="shared" ref="K17:P17" si="7">IF((K16&gt;=66),3,IF(AND(K16&gt;=33,K16&lt;66),2,IF(AND(K16&gt;0,K16&lt;33),1,"-")))</f>
        <v>2</v>
      </c>
      <c r="L17" s="182">
        <f t="shared" si="7"/>
        <v>2</v>
      </c>
      <c r="M17" s="182">
        <f t="shared" si="7"/>
        <v>2</v>
      </c>
      <c r="N17" s="182">
        <f t="shared" si="7"/>
        <v>2</v>
      </c>
      <c r="O17" s="182">
        <f t="shared" si="7"/>
        <v>2</v>
      </c>
      <c r="P17" s="182">
        <f t="shared" si="7"/>
        <v>2</v>
      </c>
      <c r="Q17" s="38"/>
      <c r="R17" s="38"/>
      <c r="S17" s="38"/>
      <c r="T17" s="38"/>
      <c r="U17" s="38"/>
      <c r="V17" s="38"/>
      <c r="W17" s="38"/>
      <c r="X17" s="38"/>
      <c r="Y17" s="38"/>
      <c r="Z17" s="38"/>
      <c r="AA17" s="38"/>
      <c r="AB17" s="38"/>
      <c r="AC17" s="38"/>
      <c r="AD17" s="38"/>
      <c r="AE17" s="38"/>
      <c r="AF17" s="38"/>
      <c r="AG17" s="38"/>
    </row>
    <row r="18" spans="1:33" ht="36" customHeight="1" x14ac:dyDescent="0.3">
      <c r="A18" s="275" t="s">
        <v>139</v>
      </c>
      <c r="B18" s="50" t="s">
        <v>147</v>
      </c>
      <c r="C18" s="51"/>
      <c r="D18" s="171"/>
      <c r="E18" s="171"/>
      <c r="F18" s="171"/>
      <c r="G18" s="171"/>
      <c r="H18" s="171" t="s">
        <v>264</v>
      </c>
      <c r="I18" s="171" t="s">
        <v>265</v>
      </c>
      <c r="J18" s="178"/>
      <c r="K18" s="178" t="str">
        <f t="shared" ref="K18:P20" si="8">IF(D18="","","Y")</f>
        <v/>
      </c>
      <c r="L18" s="178" t="str">
        <f t="shared" si="8"/>
        <v/>
      </c>
      <c r="M18" s="178" t="str">
        <f t="shared" si="8"/>
        <v/>
      </c>
      <c r="N18" s="178" t="str">
        <f t="shared" si="8"/>
        <v/>
      </c>
      <c r="O18" s="178" t="str">
        <f t="shared" si="8"/>
        <v>Y</v>
      </c>
      <c r="P18" s="178" t="str">
        <f t="shared" si="8"/>
        <v>Y</v>
      </c>
      <c r="Q18" s="38"/>
      <c r="R18" s="38"/>
      <c r="S18" s="38"/>
      <c r="T18" s="38"/>
      <c r="U18" s="38"/>
      <c r="V18" s="38"/>
      <c r="W18" s="38"/>
      <c r="X18" s="38"/>
      <c r="Y18" s="38"/>
      <c r="Z18" s="38"/>
      <c r="AA18" s="38"/>
      <c r="AB18" s="38"/>
      <c r="AC18" s="38"/>
      <c r="AD18" s="38"/>
      <c r="AE18" s="38"/>
      <c r="AF18" s="38"/>
      <c r="AG18" s="38"/>
    </row>
    <row r="19" spans="1:33" ht="30" customHeight="1" x14ac:dyDescent="0.3">
      <c r="A19" s="276"/>
      <c r="B19" s="50" t="s">
        <v>146</v>
      </c>
      <c r="C19" s="51"/>
      <c r="D19" s="171"/>
      <c r="E19" s="171"/>
      <c r="F19" s="171"/>
      <c r="G19" s="171"/>
      <c r="H19" s="171"/>
      <c r="I19" s="171"/>
      <c r="J19" s="178"/>
      <c r="K19" s="178" t="str">
        <f t="shared" si="8"/>
        <v/>
      </c>
      <c r="L19" s="178" t="str">
        <f t="shared" si="8"/>
        <v/>
      </c>
      <c r="M19" s="178" t="str">
        <f t="shared" si="8"/>
        <v/>
      </c>
      <c r="N19" s="178" t="str">
        <f t="shared" si="8"/>
        <v/>
      </c>
      <c r="O19" s="178" t="str">
        <f t="shared" si="8"/>
        <v/>
      </c>
      <c r="P19" s="178" t="str">
        <f t="shared" si="8"/>
        <v/>
      </c>
      <c r="Q19" s="38"/>
      <c r="R19" s="38"/>
      <c r="S19" s="38"/>
      <c r="T19" s="38"/>
      <c r="U19" s="38"/>
      <c r="V19" s="38"/>
      <c r="W19" s="38"/>
      <c r="X19" s="38"/>
      <c r="Y19" s="38"/>
      <c r="Z19" s="38"/>
      <c r="AA19" s="38"/>
      <c r="AB19" s="38"/>
      <c r="AC19" s="38"/>
      <c r="AD19" s="38"/>
      <c r="AE19" s="38"/>
      <c r="AF19" s="38"/>
      <c r="AG19" s="38"/>
    </row>
    <row r="20" spans="1:33" ht="33.75" customHeight="1" x14ac:dyDescent="0.3">
      <c r="A20" s="277"/>
      <c r="B20" s="42" t="s">
        <v>148</v>
      </c>
      <c r="C20" s="51"/>
      <c r="D20" s="171"/>
      <c r="E20" s="171"/>
      <c r="F20" s="171"/>
      <c r="G20" s="171"/>
      <c r="H20" s="171"/>
      <c r="I20" s="171"/>
      <c r="J20" s="178"/>
      <c r="K20" s="178" t="str">
        <f t="shared" si="8"/>
        <v/>
      </c>
      <c r="L20" s="178" t="str">
        <f t="shared" si="8"/>
        <v/>
      </c>
      <c r="M20" s="178" t="str">
        <f t="shared" si="8"/>
        <v/>
      </c>
      <c r="N20" s="178" t="str">
        <f t="shared" si="8"/>
        <v/>
      </c>
      <c r="O20" s="178" t="str">
        <f t="shared" si="8"/>
        <v/>
      </c>
      <c r="P20" s="178" t="str">
        <f t="shared" si="8"/>
        <v/>
      </c>
      <c r="Q20" s="38"/>
      <c r="R20" s="38"/>
      <c r="S20" s="38"/>
      <c r="T20" s="38"/>
      <c r="U20" s="38"/>
      <c r="V20" s="38"/>
      <c r="W20" s="38"/>
      <c r="X20" s="38"/>
      <c r="Y20" s="38"/>
      <c r="Z20" s="38"/>
      <c r="AA20" s="38"/>
      <c r="AB20" s="38"/>
      <c r="AC20" s="38"/>
      <c r="AD20" s="38"/>
      <c r="AE20" s="38"/>
      <c r="AF20" s="38"/>
      <c r="AG20" s="38"/>
    </row>
    <row r="21" spans="1:33" ht="30" customHeight="1" x14ac:dyDescent="0.3">
      <c r="A21" s="55"/>
      <c r="B21" s="56"/>
      <c r="C21" s="54"/>
      <c r="D21" s="272" t="s">
        <v>132</v>
      </c>
      <c r="E21" s="232"/>
      <c r="F21" s="232"/>
      <c r="G21" s="232"/>
      <c r="H21" s="232"/>
      <c r="I21" s="233"/>
      <c r="J21" s="179"/>
      <c r="K21" s="180">
        <f t="shared" ref="K21:P21" si="9">COUNTIF(K18:K20,"Y")</f>
        <v>0</v>
      </c>
      <c r="L21" s="180">
        <f t="shared" si="9"/>
        <v>0</v>
      </c>
      <c r="M21" s="180">
        <f t="shared" si="9"/>
        <v>0</v>
      </c>
      <c r="N21" s="180">
        <f t="shared" si="9"/>
        <v>0</v>
      </c>
      <c r="O21" s="180">
        <f t="shared" si="9"/>
        <v>1</v>
      </c>
      <c r="P21" s="180">
        <f t="shared" si="9"/>
        <v>1</v>
      </c>
      <c r="Q21" s="38"/>
      <c r="R21" s="38"/>
      <c r="S21" s="38"/>
      <c r="T21" s="38"/>
      <c r="U21" s="38"/>
      <c r="V21" s="38"/>
      <c r="W21" s="38"/>
      <c r="X21" s="38"/>
      <c r="Y21" s="38"/>
      <c r="Z21" s="38"/>
      <c r="AA21" s="38"/>
      <c r="AB21" s="38"/>
      <c r="AC21" s="38"/>
      <c r="AD21" s="38"/>
      <c r="AE21" s="38"/>
      <c r="AF21" s="38"/>
      <c r="AG21" s="38"/>
    </row>
    <row r="22" spans="1:33" ht="30" customHeight="1" x14ac:dyDescent="0.3">
      <c r="A22" s="55"/>
      <c r="B22" s="56"/>
      <c r="C22" s="54"/>
      <c r="D22" s="273" t="s">
        <v>133</v>
      </c>
      <c r="E22" s="232"/>
      <c r="F22" s="232"/>
      <c r="G22" s="232"/>
      <c r="H22" s="232"/>
      <c r="I22" s="233"/>
      <c r="J22" s="179"/>
      <c r="K22" s="181">
        <f t="shared" ref="K22:P22" si="10">100*K21/4</f>
        <v>0</v>
      </c>
      <c r="L22" s="181">
        <f t="shared" si="10"/>
        <v>0</v>
      </c>
      <c r="M22" s="181">
        <f t="shared" si="10"/>
        <v>0</v>
      </c>
      <c r="N22" s="181">
        <f t="shared" si="10"/>
        <v>0</v>
      </c>
      <c r="O22" s="181">
        <f t="shared" si="10"/>
        <v>25</v>
      </c>
      <c r="P22" s="181">
        <f t="shared" si="10"/>
        <v>25</v>
      </c>
      <c r="Q22" s="38"/>
      <c r="R22" s="38"/>
      <c r="S22" s="38"/>
      <c r="T22" s="38"/>
      <c r="U22" s="38"/>
      <c r="V22" s="38"/>
      <c r="W22" s="38"/>
      <c r="X22" s="38"/>
      <c r="Y22" s="38"/>
      <c r="Z22" s="38"/>
      <c r="AA22" s="38"/>
      <c r="AB22" s="38"/>
      <c r="AC22" s="38"/>
      <c r="AD22" s="38"/>
      <c r="AE22" s="38"/>
      <c r="AF22" s="38"/>
      <c r="AG22" s="38"/>
    </row>
    <row r="23" spans="1:33" ht="30" customHeight="1" x14ac:dyDescent="0.3">
      <c r="A23" s="55"/>
      <c r="B23" s="56"/>
      <c r="C23" s="54"/>
      <c r="D23" s="274" t="s">
        <v>134</v>
      </c>
      <c r="E23" s="232"/>
      <c r="F23" s="232"/>
      <c r="G23" s="232"/>
      <c r="H23" s="232"/>
      <c r="I23" s="233"/>
      <c r="J23" s="179"/>
      <c r="K23" s="182" t="str">
        <f t="shared" ref="K23:P23" si="11">IF((K22&gt;=66),3,IF(AND(K22&gt;=33,K22&lt;66),2,IF(AND(K22&gt;0,K22&lt;33),1,"-")))</f>
        <v>-</v>
      </c>
      <c r="L23" s="182" t="str">
        <f t="shared" si="11"/>
        <v>-</v>
      </c>
      <c r="M23" s="182" t="str">
        <f t="shared" si="11"/>
        <v>-</v>
      </c>
      <c r="N23" s="182" t="str">
        <f t="shared" si="11"/>
        <v>-</v>
      </c>
      <c r="O23" s="182">
        <f t="shared" si="11"/>
        <v>1</v>
      </c>
      <c r="P23" s="182">
        <f t="shared" si="11"/>
        <v>1</v>
      </c>
      <c r="Q23" s="38"/>
      <c r="R23" s="38"/>
      <c r="S23" s="38"/>
      <c r="T23" s="38"/>
      <c r="U23" s="38"/>
      <c r="V23" s="38"/>
      <c r="W23" s="38"/>
      <c r="X23" s="38"/>
      <c r="Y23" s="38"/>
      <c r="Z23" s="38"/>
      <c r="AA23" s="38"/>
      <c r="AB23" s="38"/>
      <c r="AC23" s="38"/>
      <c r="AD23" s="38"/>
      <c r="AE23" s="38"/>
      <c r="AF23" s="38"/>
      <c r="AG23" s="38"/>
    </row>
  </sheetData>
  <mergeCells count="18">
    <mergeCell ref="A18:A20"/>
    <mergeCell ref="A4:B4"/>
    <mergeCell ref="D4:I4"/>
    <mergeCell ref="K4:P4"/>
    <mergeCell ref="A6:A8"/>
    <mergeCell ref="D9:I9"/>
    <mergeCell ref="D10:I10"/>
    <mergeCell ref="D11:I11"/>
    <mergeCell ref="A12:A14"/>
    <mergeCell ref="D15:I15"/>
    <mergeCell ref="D16:I16"/>
    <mergeCell ref="D17:I17"/>
    <mergeCell ref="D21:I21"/>
    <mergeCell ref="D22:I22"/>
    <mergeCell ref="D23:I23"/>
    <mergeCell ref="B1:N1"/>
    <mergeCell ref="B2:N2"/>
    <mergeCell ref="B3:N3"/>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19"/>
  <sheetViews>
    <sheetView topLeftCell="A6" zoomScaleNormal="100" workbookViewId="0">
      <selection activeCell="K11" sqref="K11"/>
    </sheetView>
  </sheetViews>
  <sheetFormatPr defaultColWidth="12.58203125" defaultRowHeight="15" customHeight="1" x14ac:dyDescent="0.25"/>
  <cols>
    <col min="1" max="1" width="7.75" style="59" customWidth="1"/>
    <col min="2" max="2" width="7.25" style="59" customWidth="1"/>
    <col min="3" max="3" width="33.75" style="59" customWidth="1"/>
    <col min="4" max="4" width="1.5" style="59" hidden="1" customWidth="1"/>
    <col min="5" max="5" width="1.08203125" style="59" customWidth="1"/>
    <col min="6" max="9" width="7.58203125" style="59" customWidth="1"/>
    <col min="10" max="10" width="8.08203125" style="59" customWidth="1"/>
    <col min="11" max="11" width="7.25" style="59" customWidth="1"/>
    <col min="12" max="12" width="3.83203125" style="59" customWidth="1"/>
    <col min="13" max="16384" width="12.58203125" style="59"/>
  </cols>
  <sheetData>
    <row r="1" spans="1:11" ht="15" customHeight="1" x14ac:dyDescent="0.25">
      <c r="A1" s="58"/>
      <c r="B1" s="197" t="s">
        <v>179</v>
      </c>
      <c r="C1" s="197"/>
      <c r="D1" s="197"/>
      <c r="E1" s="197"/>
      <c r="F1" s="197"/>
      <c r="G1" s="197"/>
      <c r="H1" s="197"/>
      <c r="I1" s="197"/>
      <c r="J1" s="197"/>
      <c r="K1" s="197"/>
    </row>
    <row r="2" spans="1:11" ht="15" customHeight="1" x14ac:dyDescent="0.25">
      <c r="A2" s="58"/>
      <c r="B2" s="197" t="s">
        <v>171</v>
      </c>
      <c r="C2" s="197"/>
      <c r="D2" s="197"/>
      <c r="E2" s="197"/>
      <c r="F2" s="197"/>
      <c r="G2" s="197"/>
      <c r="H2" s="197"/>
      <c r="I2" s="197"/>
      <c r="J2" s="197"/>
      <c r="K2" s="197"/>
    </row>
    <row r="3" spans="1:11" ht="15" customHeight="1" x14ac:dyDescent="0.25">
      <c r="A3" s="58"/>
      <c r="B3" s="197"/>
      <c r="C3" s="197"/>
      <c r="D3" s="197"/>
      <c r="E3" s="197"/>
      <c r="F3" s="197"/>
      <c r="G3" s="197"/>
      <c r="H3" s="197"/>
      <c r="I3" s="197"/>
      <c r="J3" s="197"/>
      <c r="K3" s="197"/>
    </row>
    <row r="4" spans="1:11" ht="21" customHeight="1" thickBot="1" x14ac:dyDescent="0.3">
      <c r="A4" s="304" t="s">
        <v>135</v>
      </c>
      <c r="B4" s="305"/>
      <c r="C4" s="305"/>
      <c r="D4" s="305"/>
      <c r="E4" s="305"/>
      <c r="F4" s="305"/>
      <c r="G4" s="305"/>
      <c r="H4" s="305"/>
      <c r="I4" s="305"/>
      <c r="J4" s="305"/>
      <c r="K4" s="306"/>
    </row>
    <row r="5" spans="1:11" ht="19.149999999999999" customHeight="1" thickBot="1" x14ac:dyDescent="0.35">
      <c r="A5" s="286" t="s">
        <v>40</v>
      </c>
      <c r="B5" s="300"/>
      <c r="C5" s="301"/>
      <c r="D5" s="60"/>
      <c r="E5" s="60"/>
      <c r="F5" s="307"/>
      <c r="G5" s="308"/>
      <c r="H5" s="308"/>
      <c r="I5" s="308"/>
      <c r="J5" s="308"/>
      <c r="K5" s="309"/>
    </row>
    <row r="6" spans="1:11" ht="14.25" customHeight="1" thickBot="1" x14ac:dyDescent="0.3">
      <c r="A6" s="61"/>
      <c r="B6" s="61"/>
      <c r="C6" s="61"/>
      <c r="D6" s="61"/>
      <c r="E6" s="61"/>
      <c r="F6" s="61"/>
      <c r="G6" s="61"/>
      <c r="H6" s="61"/>
      <c r="I6" s="61"/>
      <c r="J6" s="61"/>
      <c r="K6" s="61"/>
    </row>
    <row r="7" spans="1:11" ht="14.25" customHeight="1" thickBot="1" x14ac:dyDescent="0.35">
      <c r="A7" s="302" t="s">
        <v>41</v>
      </c>
      <c r="B7" s="303"/>
      <c r="C7" s="62"/>
      <c r="D7" s="61"/>
      <c r="E7" s="61"/>
      <c r="F7" s="310" t="s">
        <v>176</v>
      </c>
      <c r="G7" s="310"/>
      <c r="H7" s="310"/>
      <c r="I7" s="311"/>
      <c r="J7" s="312"/>
      <c r="K7" s="313"/>
    </row>
    <row r="8" spans="1:11" ht="14.25" customHeight="1" thickBot="1" x14ac:dyDescent="0.3">
      <c r="A8" s="61"/>
      <c r="B8" s="61"/>
      <c r="C8" s="61"/>
      <c r="D8" s="61"/>
      <c r="E8" s="61"/>
      <c r="F8" s="61"/>
      <c r="G8" s="61"/>
      <c r="H8" s="61"/>
      <c r="I8" s="61"/>
      <c r="J8" s="61"/>
      <c r="K8" s="61"/>
    </row>
    <row r="9" spans="1:11" ht="14.25" customHeight="1" thickBot="1" x14ac:dyDescent="0.35">
      <c r="A9" s="286" t="s">
        <v>42</v>
      </c>
      <c r="B9" s="287"/>
      <c r="C9" s="288"/>
      <c r="D9" s="64"/>
      <c r="E9" s="64"/>
      <c r="F9" s="297">
        <f>COUNTIF(A23:A323,"&gt;0")</f>
        <v>24</v>
      </c>
      <c r="G9" s="298"/>
      <c r="H9" s="298"/>
      <c r="I9" s="298"/>
      <c r="J9" s="298"/>
      <c r="K9" s="299"/>
    </row>
    <row r="10" spans="1:11" ht="14.25" customHeight="1" thickBot="1" x14ac:dyDescent="0.3">
      <c r="A10" s="61"/>
      <c r="B10" s="61"/>
      <c r="C10" s="61"/>
      <c r="D10" s="61"/>
      <c r="E10" s="61"/>
      <c r="F10" s="61"/>
      <c r="G10" s="61"/>
      <c r="H10" s="61"/>
      <c r="I10" s="61"/>
      <c r="J10" s="61"/>
      <c r="K10" s="61"/>
    </row>
    <row r="11" spans="1:11" ht="17.5" customHeight="1" thickBot="1" x14ac:dyDescent="0.3">
      <c r="A11" s="285" t="s">
        <v>149</v>
      </c>
      <c r="B11" s="285"/>
      <c r="C11" s="285"/>
      <c r="D11" s="285"/>
      <c r="E11" s="285"/>
      <c r="F11" s="285"/>
      <c r="G11" s="285"/>
      <c r="H11" s="285"/>
      <c r="I11" s="285"/>
      <c r="J11" s="83"/>
      <c r="K11" s="65">
        <v>60</v>
      </c>
    </row>
    <row r="12" spans="1:11" ht="14.25" customHeight="1" x14ac:dyDescent="0.25">
      <c r="A12" s="66"/>
      <c r="B12" s="66"/>
      <c r="C12" s="66"/>
      <c r="D12" s="66"/>
      <c r="E12" s="66"/>
      <c r="F12" s="66"/>
      <c r="G12" s="66"/>
      <c r="H12" s="66"/>
      <c r="I12" s="66"/>
      <c r="J12" s="66"/>
      <c r="K12" s="66"/>
    </row>
    <row r="13" spans="1:11" ht="14.25" customHeight="1" x14ac:dyDescent="0.25">
      <c r="A13" s="66"/>
      <c r="B13" s="66"/>
      <c r="C13" s="296" t="s">
        <v>158</v>
      </c>
      <c r="D13" s="296"/>
      <c r="E13" s="296"/>
      <c r="F13" s="296"/>
      <c r="G13" s="296"/>
      <c r="H13" s="296"/>
      <c r="I13" s="296"/>
      <c r="J13" s="296"/>
      <c r="K13" s="296"/>
    </row>
    <row r="14" spans="1:11" ht="14.25" customHeight="1" x14ac:dyDescent="0.25">
      <c r="A14" s="67"/>
      <c r="B14" s="67"/>
      <c r="C14" s="68" t="s">
        <v>156</v>
      </c>
      <c r="D14" s="69"/>
      <c r="E14" s="67"/>
      <c r="F14" s="88">
        <f>COUNTIF(F23:F323,"&gt;="&amp;F21)</f>
        <v>11</v>
      </c>
      <c r="G14" s="88">
        <f t="shared" ref="G14:K14" si="0">COUNTIF(G23:G323,"&gt;="&amp;G21)</f>
        <v>8</v>
      </c>
      <c r="H14" s="88">
        <f t="shared" si="0"/>
        <v>11</v>
      </c>
      <c r="I14" s="88">
        <f t="shared" si="0"/>
        <v>6</v>
      </c>
      <c r="J14" s="88">
        <f t="shared" si="0"/>
        <v>19</v>
      </c>
      <c r="K14" s="88">
        <f t="shared" si="0"/>
        <v>12</v>
      </c>
    </row>
    <row r="15" spans="1:11" ht="14.25" customHeight="1" x14ac:dyDescent="0.25">
      <c r="A15" s="67"/>
      <c r="B15" s="67"/>
      <c r="C15" s="61"/>
      <c r="D15" s="61"/>
      <c r="E15" s="61"/>
      <c r="F15" s="61"/>
      <c r="G15" s="61"/>
      <c r="H15" s="61"/>
      <c r="I15" s="61"/>
      <c r="J15" s="61"/>
      <c r="K15" s="61"/>
    </row>
    <row r="16" spans="1:11" ht="14.25" customHeight="1" x14ac:dyDescent="0.25">
      <c r="A16" s="67"/>
      <c r="B16" s="67"/>
      <c r="C16" s="296" t="s">
        <v>159</v>
      </c>
      <c r="D16" s="296"/>
      <c r="E16" s="296"/>
      <c r="F16" s="296"/>
      <c r="G16" s="296"/>
      <c r="H16" s="296"/>
      <c r="I16" s="296"/>
      <c r="J16" s="296"/>
      <c r="K16" s="296"/>
    </row>
    <row r="17" spans="1:11" ht="14.25" customHeight="1" x14ac:dyDescent="0.25">
      <c r="A17" s="67"/>
      <c r="B17" s="67"/>
      <c r="C17" s="68" t="s">
        <v>162</v>
      </c>
      <c r="D17" s="69"/>
      <c r="E17" s="67"/>
      <c r="F17" s="89">
        <f t="shared" ref="F17:K17" si="1">100*F14/$F$9</f>
        <v>45.833333333333336</v>
      </c>
      <c r="G17" s="89">
        <f t="shared" si="1"/>
        <v>33.333333333333336</v>
      </c>
      <c r="H17" s="89">
        <f t="shared" si="1"/>
        <v>45.833333333333336</v>
      </c>
      <c r="I17" s="89">
        <f t="shared" si="1"/>
        <v>25</v>
      </c>
      <c r="J17" s="89">
        <f t="shared" si="1"/>
        <v>79.166666666666671</v>
      </c>
      <c r="K17" s="89">
        <f t="shared" si="1"/>
        <v>50</v>
      </c>
    </row>
    <row r="18" spans="1:11" ht="14.25" customHeight="1" x14ac:dyDescent="0.25">
      <c r="A18" s="66"/>
      <c r="B18" s="66"/>
      <c r="C18" s="66"/>
      <c r="D18" s="66"/>
      <c r="E18" s="66"/>
      <c r="F18" s="66"/>
      <c r="G18" s="66"/>
      <c r="H18" s="66"/>
      <c r="I18" s="66"/>
      <c r="J18" s="66"/>
      <c r="K18" s="66"/>
    </row>
    <row r="19" spans="1:11" ht="14.25" customHeight="1" x14ac:dyDescent="0.25">
      <c r="A19" s="290" t="s">
        <v>43</v>
      </c>
      <c r="B19" s="291"/>
      <c r="C19" s="292"/>
      <c r="D19" s="70"/>
      <c r="E19" s="70"/>
      <c r="F19" s="84">
        <v>15</v>
      </c>
      <c r="G19" s="84">
        <v>15</v>
      </c>
      <c r="H19" s="84">
        <v>15</v>
      </c>
      <c r="I19" s="84">
        <v>15</v>
      </c>
      <c r="J19" s="84">
        <v>15</v>
      </c>
      <c r="K19" s="84">
        <v>15</v>
      </c>
    </row>
    <row r="20" spans="1:11" ht="15" customHeight="1" x14ac:dyDescent="0.25">
      <c r="A20" s="71" t="s">
        <v>4</v>
      </c>
      <c r="B20" s="71" t="s">
        <v>44</v>
      </c>
      <c r="C20" s="71" t="s">
        <v>45</v>
      </c>
      <c r="D20" s="70"/>
      <c r="E20" s="70"/>
      <c r="F20" s="289" t="s">
        <v>170</v>
      </c>
      <c r="G20" s="289"/>
      <c r="H20" s="289"/>
      <c r="I20" s="289"/>
      <c r="J20" s="289"/>
      <c r="K20" s="289"/>
    </row>
    <row r="21" spans="1:11" ht="15" customHeight="1" x14ac:dyDescent="0.25">
      <c r="A21" s="293" t="s">
        <v>157</v>
      </c>
      <c r="B21" s="294"/>
      <c r="C21" s="295"/>
      <c r="D21" s="70"/>
      <c r="E21" s="70"/>
      <c r="F21" s="85">
        <f t="shared" ref="F21:K21" si="2">IFERROR(F19*$K$11/100,"")</f>
        <v>9</v>
      </c>
      <c r="G21" s="86">
        <f t="shared" si="2"/>
        <v>9</v>
      </c>
      <c r="H21" s="86">
        <f t="shared" si="2"/>
        <v>9</v>
      </c>
      <c r="I21" s="86">
        <f t="shared" si="2"/>
        <v>9</v>
      </c>
      <c r="J21" s="87">
        <f t="shared" si="2"/>
        <v>9</v>
      </c>
      <c r="K21" s="85">
        <f t="shared" si="2"/>
        <v>9</v>
      </c>
    </row>
    <row r="22" spans="1:11" ht="23.25" customHeight="1" x14ac:dyDescent="0.25">
      <c r="A22" s="71"/>
      <c r="B22" s="71"/>
      <c r="C22" s="71"/>
      <c r="D22" s="70"/>
      <c r="E22" s="70"/>
      <c r="F22" s="72" t="s">
        <v>23</v>
      </c>
      <c r="G22" s="73" t="s">
        <v>24</v>
      </c>
      <c r="H22" s="73" t="s">
        <v>25</v>
      </c>
      <c r="I22" s="74" t="s">
        <v>26</v>
      </c>
      <c r="J22" s="75" t="s">
        <v>27</v>
      </c>
      <c r="K22" s="76" t="s">
        <v>28</v>
      </c>
    </row>
    <row r="23" spans="1:11" ht="14.25" customHeight="1" x14ac:dyDescent="0.25">
      <c r="A23" s="57">
        <f>IF(B23&lt;&gt;"", COUNTA($B$23:B23), "")</f>
        <v>1</v>
      </c>
      <c r="B23" s="188">
        <v>3001</v>
      </c>
      <c r="C23" s="189" t="s">
        <v>266</v>
      </c>
      <c r="D23" s="61"/>
      <c r="E23" s="61"/>
      <c r="F23" s="187">
        <v>10</v>
      </c>
      <c r="G23" s="187">
        <v>9</v>
      </c>
      <c r="H23" s="187">
        <v>14</v>
      </c>
      <c r="I23" s="187">
        <v>10</v>
      </c>
      <c r="J23" s="187">
        <v>10</v>
      </c>
      <c r="K23" s="187">
        <v>11</v>
      </c>
    </row>
    <row r="24" spans="1:11" ht="14.25" customHeight="1" x14ac:dyDescent="0.25">
      <c r="A24" s="57">
        <f>IF(B24&lt;&gt;"", COUNTA($B$23:B24), "")</f>
        <v>2</v>
      </c>
      <c r="B24" s="188">
        <v>3002</v>
      </c>
      <c r="C24" s="189" t="s">
        <v>267</v>
      </c>
      <c r="D24" s="61"/>
      <c r="E24" s="61"/>
      <c r="F24" s="187">
        <v>9</v>
      </c>
      <c r="G24" s="187">
        <v>6</v>
      </c>
      <c r="H24" s="187">
        <v>8</v>
      </c>
      <c r="I24" s="187">
        <v>10</v>
      </c>
      <c r="J24" s="187">
        <v>14</v>
      </c>
      <c r="K24" s="187">
        <v>9</v>
      </c>
    </row>
    <row r="25" spans="1:11" ht="14.25" customHeight="1" x14ac:dyDescent="0.25">
      <c r="A25" s="57">
        <f>IF(B25&lt;&gt;"", COUNTA($B$23:B25), "")</f>
        <v>3</v>
      </c>
      <c r="B25" s="188">
        <v>3003</v>
      </c>
      <c r="C25" s="189" t="s">
        <v>268</v>
      </c>
      <c r="D25" s="61"/>
      <c r="E25" s="61"/>
      <c r="F25" s="187">
        <v>9</v>
      </c>
      <c r="G25" s="187">
        <v>8</v>
      </c>
      <c r="H25" s="187">
        <v>5</v>
      </c>
      <c r="I25" s="187">
        <v>7</v>
      </c>
      <c r="J25" s="187">
        <v>14</v>
      </c>
      <c r="K25" s="187">
        <v>5</v>
      </c>
    </row>
    <row r="26" spans="1:11" ht="14.25" customHeight="1" x14ac:dyDescent="0.25">
      <c r="A26" s="57">
        <f>IF(B26&lt;&gt;"", COUNTA($B$23:B26), "")</f>
        <v>4</v>
      </c>
      <c r="B26" s="188">
        <v>3004</v>
      </c>
      <c r="C26" s="189" t="s">
        <v>269</v>
      </c>
      <c r="D26" s="61"/>
      <c r="E26" s="61"/>
      <c r="F26" s="187">
        <v>8</v>
      </c>
      <c r="G26" s="187">
        <v>7</v>
      </c>
      <c r="H26" s="187">
        <v>5</v>
      </c>
      <c r="I26" s="187">
        <v>8</v>
      </c>
      <c r="J26" s="187">
        <v>10</v>
      </c>
      <c r="K26" s="187">
        <v>5</v>
      </c>
    </row>
    <row r="27" spans="1:11" ht="14.25" customHeight="1" x14ac:dyDescent="0.25">
      <c r="A27" s="57">
        <f>IF(B27&lt;&gt;"", COUNTA($B$23:B27), "")</f>
        <v>5</v>
      </c>
      <c r="B27" s="188">
        <v>3005</v>
      </c>
      <c r="C27" s="189" t="s">
        <v>270</v>
      </c>
      <c r="D27" s="61"/>
      <c r="E27" s="61"/>
      <c r="F27" s="187">
        <v>10</v>
      </c>
      <c r="G27" s="187">
        <v>14</v>
      </c>
      <c r="H27" s="187">
        <v>11</v>
      </c>
      <c r="I27" s="187">
        <v>8</v>
      </c>
      <c r="J27" s="187">
        <v>19</v>
      </c>
      <c r="K27" s="187">
        <v>11</v>
      </c>
    </row>
    <row r="28" spans="1:11" ht="14.25" customHeight="1" x14ac:dyDescent="0.25">
      <c r="A28" s="57">
        <f>IF(B28&lt;&gt;"", COUNTA($B$23:B28), "")</f>
        <v>6</v>
      </c>
      <c r="B28" s="188">
        <v>3006</v>
      </c>
      <c r="C28" s="189" t="s">
        <v>271</v>
      </c>
      <c r="D28" s="61"/>
      <c r="E28" s="61"/>
      <c r="F28" s="187">
        <v>8</v>
      </c>
      <c r="G28" s="187">
        <v>5</v>
      </c>
      <c r="H28" s="187">
        <v>7</v>
      </c>
      <c r="I28" s="187">
        <v>8</v>
      </c>
      <c r="J28" s="187">
        <v>10</v>
      </c>
      <c r="K28" s="187">
        <v>7</v>
      </c>
    </row>
    <row r="29" spans="1:11" ht="14.25" customHeight="1" x14ac:dyDescent="0.25">
      <c r="A29" s="57">
        <f>IF(B29&lt;&gt;"", COUNTA($B$23:B29), "")</f>
        <v>7</v>
      </c>
      <c r="B29" s="188">
        <v>3007</v>
      </c>
      <c r="C29" s="189" t="s">
        <v>272</v>
      </c>
      <c r="D29" s="61"/>
      <c r="E29" s="61"/>
      <c r="F29" s="187">
        <v>9</v>
      </c>
      <c r="G29" s="187">
        <v>6</v>
      </c>
      <c r="H29" s="187">
        <v>12</v>
      </c>
      <c r="I29" s="187">
        <v>13</v>
      </c>
      <c r="J29" s="187">
        <v>9</v>
      </c>
      <c r="K29" s="187">
        <v>12</v>
      </c>
    </row>
    <row r="30" spans="1:11" ht="14.25" customHeight="1" x14ac:dyDescent="0.25">
      <c r="A30" s="57">
        <f>IF(B30&lt;&gt;"", COUNTA($B$23:B30), "")</f>
        <v>8</v>
      </c>
      <c r="B30" s="188">
        <v>3008</v>
      </c>
      <c r="C30" s="189" t="s">
        <v>273</v>
      </c>
      <c r="D30" s="61"/>
      <c r="E30" s="61"/>
      <c r="F30" s="187">
        <v>8</v>
      </c>
      <c r="G30" s="187">
        <v>7</v>
      </c>
      <c r="H30" s="187">
        <v>5</v>
      </c>
      <c r="I30" s="187">
        <v>5</v>
      </c>
      <c r="J30" s="187">
        <v>10</v>
      </c>
      <c r="K30" s="187">
        <v>5</v>
      </c>
    </row>
    <row r="31" spans="1:11" ht="14.25" customHeight="1" x14ac:dyDescent="0.25">
      <c r="A31" s="57">
        <f>IF(B31&lt;&gt;"", COUNTA($B$23:B31), "")</f>
        <v>9</v>
      </c>
      <c r="B31" s="188">
        <v>3009</v>
      </c>
      <c r="C31" s="189" t="s">
        <v>274</v>
      </c>
      <c r="D31" s="61"/>
      <c r="E31" s="61"/>
      <c r="F31" s="187">
        <v>7</v>
      </c>
      <c r="G31" s="187">
        <v>7</v>
      </c>
      <c r="H31" s="187">
        <v>15</v>
      </c>
      <c r="I31" s="187">
        <v>5</v>
      </c>
      <c r="J31" s="187">
        <v>13</v>
      </c>
      <c r="K31" s="187">
        <v>15</v>
      </c>
    </row>
    <row r="32" spans="1:11" ht="14.25" customHeight="1" x14ac:dyDescent="0.25">
      <c r="A32" s="57">
        <f>IF(B32&lt;&gt;"", COUNTA($B$23:B32), "")</f>
        <v>10</v>
      </c>
      <c r="B32" s="188">
        <v>3010</v>
      </c>
      <c r="C32" s="189" t="s">
        <v>275</v>
      </c>
      <c r="D32" s="61"/>
      <c r="E32" s="61"/>
      <c r="F32" s="187">
        <v>12</v>
      </c>
      <c r="G32" s="187">
        <v>9</v>
      </c>
      <c r="H32" s="187">
        <v>6</v>
      </c>
      <c r="I32" s="187">
        <v>6</v>
      </c>
      <c r="J32" s="187">
        <v>9</v>
      </c>
      <c r="K32" s="187">
        <v>6</v>
      </c>
    </row>
    <row r="33" spans="1:12" ht="14.25" customHeight="1" x14ac:dyDescent="0.25">
      <c r="A33" s="57">
        <f>IF(B33&lt;&gt;"", COUNTA($B$23:B33), "")</f>
        <v>11</v>
      </c>
      <c r="B33" s="188">
        <v>3011</v>
      </c>
      <c r="C33" s="189" t="s">
        <v>276</v>
      </c>
      <c r="D33" s="61"/>
      <c r="E33" s="61"/>
      <c r="F33" s="187">
        <v>8</v>
      </c>
      <c r="G33" s="187">
        <v>6</v>
      </c>
      <c r="H33" s="187">
        <v>7</v>
      </c>
      <c r="I33" s="187">
        <v>15</v>
      </c>
      <c r="J33" s="187">
        <v>10</v>
      </c>
      <c r="K33" s="187">
        <v>7</v>
      </c>
    </row>
    <row r="34" spans="1:12" ht="14.25" customHeight="1" x14ac:dyDescent="0.25">
      <c r="A34" s="57">
        <f>IF(B34&lt;&gt;"", COUNTA($B$23:B34), "")</f>
        <v>12</v>
      </c>
      <c r="B34" s="188">
        <v>3012</v>
      </c>
      <c r="C34" s="189" t="s">
        <v>277</v>
      </c>
      <c r="D34" s="61"/>
      <c r="E34" s="61"/>
      <c r="F34" s="187">
        <v>8</v>
      </c>
      <c r="G34" s="187">
        <v>9</v>
      </c>
      <c r="H34" s="187">
        <v>11</v>
      </c>
      <c r="I34" s="187">
        <v>6</v>
      </c>
      <c r="J34" s="187">
        <v>9</v>
      </c>
      <c r="K34" s="187">
        <v>11</v>
      </c>
    </row>
    <row r="35" spans="1:12" ht="14.25" customHeight="1" x14ac:dyDescent="0.25">
      <c r="A35" s="57">
        <f>IF(B35&lt;&gt;"", COUNTA($B$23:B35), "")</f>
        <v>13</v>
      </c>
      <c r="B35" s="188">
        <v>3013</v>
      </c>
      <c r="C35" s="189" t="s">
        <v>278</v>
      </c>
      <c r="D35" s="61"/>
      <c r="E35" s="61"/>
      <c r="F35" s="187">
        <v>11</v>
      </c>
      <c r="G35" s="187">
        <v>9</v>
      </c>
      <c r="H35" s="187">
        <v>9</v>
      </c>
      <c r="I35" s="187">
        <v>16</v>
      </c>
      <c r="J35" s="187">
        <v>19</v>
      </c>
      <c r="K35" s="187">
        <v>9</v>
      </c>
    </row>
    <row r="36" spans="1:12" ht="14.25" customHeight="1" x14ac:dyDescent="0.25">
      <c r="A36" s="57">
        <f>IF(B36&lt;&gt;"", COUNTA($B$23:B36), "")</f>
        <v>14</v>
      </c>
      <c r="B36" s="188">
        <v>3014</v>
      </c>
      <c r="C36" s="189" t="s">
        <v>279</v>
      </c>
      <c r="D36" s="61"/>
      <c r="E36" s="61"/>
      <c r="F36" s="187">
        <v>8</v>
      </c>
      <c r="G36" s="187">
        <v>7</v>
      </c>
      <c r="H36" s="187">
        <v>7</v>
      </c>
      <c r="I36" s="187">
        <v>7</v>
      </c>
      <c r="J36" s="187">
        <v>15</v>
      </c>
      <c r="K36" s="187">
        <v>7</v>
      </c>
    </row>
    <row r="37" spans="1:12" ht="14.25" customHeight="1" x14ac:dyDescent="0.25">
      <c r="A37" s="57">
        <f>IF(B37&lt;&gt;"", COUNTA($B$23:B37), "")</f>
        <v>15</v>
      </c>
      <c r="B37" s="188">
        <v>3015</v>
      </c>
      <c r="C37" s="189" t="s">
        <v>280</v>
      </c>
      <c r="D37" s="61"/>
      <c r="E37" s="61"/>
      <c r="F37" s="187">
        <v>8</v>
      </c>
      <c r="G37" s="187">
        <v>8</v>
      </c>
      <c r="H37" s="187">
        <v>11</v>
      </c>
      <c r="I37" s="187">
        <v>6</v>
      </c>
      <c r="J37" s="187">
        <v>16</v>
      </c>
      <c r="K37" s="187">
        <v>11</v>
      </c>
    </row>
    <row r="38" spans="1:12" ht="14.25" customHeight="1" x14ac:dyDescent="0.25">
      <c r="A38" s="57">
        <f>IF(B38&lt;&gt;"", COUNTA($B$23:B38), "")</f>
        <v>16</v>
      </c>
      <c r="B38" s="188">
        <v>3016</v>
      </c>
      <c r="C38" s="189" t="s">
        <v>281</v>
      </c>
      <c r="D38" s="61"/>
      <c r="E38" s="61"/>
      <c r="F38" s="187">
        <v>11</v>
      </c>
      <c r="G38" s="187">
        <v>5</v>
      </c>
      <c r="H38" s="187">
        <v>9</v>
      </c>
      <c r="I38" s="187">
        <v>6</v>
      </c>
      <c r="J38" s="187">
        <v>13</v>
      </c>
      <c r="K38" s="187">
        <v>9</v>
      </c>
    </row>
    <row r="39" spans="1:12" ht="14.25" customHeight="1" x14ac:dyDescent="0.25">
      <c r="A39" s="57">
        <f>IF(B39&lt;&gt;"", COUNTA($B$23:B39), "")</f>
        <v>17</v>
      </c>
      <c r="B39" s="188">
        <v>3017</v>
      </c>
      <c r="C39" s="189" t="s">
        <v>282</v>
      </c>
      <c r="D39" s="61"/>
      <c r="E39" s="61"/>
      <c r="F39" s="187">
        <v>15</v>
      </c>
      <c r="G39" s="187">
        <v>13</v>
      </c>
      <c r="H39" s="187">
        <v>15</v>
      </c>
      <c r="I39" s="187">
        <v>5</v>
      </c>
      <c r="J39" s="187">
        <v>12</v>
      </c>
      <c r="K39" s="187">
        <v>15</v>
      </c>
      <c r="L39" s="81"/>
    </row>
    <row r="40" spans="1:12" ht="14.25" customHeight="1" x14ac:dyDescent="0.25">
      <c r="A40" s="57">
        <f>IF(B40&lt;&gt;"", COUNTA($B$23:B40), "")</f>
        <v>18</v>
      </c>
      <c r="B40" s="188">
        <v>3018</v>
      </c>
      <c r="C40" s="189" t="s">
        <v>283</v>
      </c>
      <c r="D40" s="61"/>
      <c r="E40" s="61"/>
      <c r="F40" s="187">
        <v>9</v>
      </c>
      <c r="G40" s="187">
        <v>7</v>
      </c>
      <c r="H40" s="187">
        <v>7</v>
      </c>
      <c r="I40" s="187">
        <v>5</v>
      </c>
      <c r="J40" s="187">
        <v>6</v>
      </c>
      <c r="K40" s="187">
        <v>7</v>
      </c>
    </row>
    <row r="41" spans="1:12" ht="14.25" customHeight="1" x14ac:dyDescent="0.25">
      <c r="A41" s="57">
        <f>IF(B41&lt;&gt;"", COUNTA($B$23:B41), "")</f>
        <v>19</v>
      </c>
      <c r="B41" s="188">
        <v>3019</v>
      </c>
      <c r="C41" s="189" t="s">
        <v>284</v>
      </c>
      <c r="D41" s="61"/>
      <c r="E41" s="61"/>
      <c r="F41" s="187">
        <v>8</v>
      </c>
      <c r="G41" s="187">
        <v>5</v>
      </c>
      <c r="H41" s="187">
        <v>7</v>
      </c>
      <c r="I41" s="187">
        <v>5</v>
      </c>
      <c r="J41" s="187">
        <v>6</v>
      </c>
      <c r="K41" s="187">
        <v>7</v>
      </c>
    </row>
    <row r="42" spans="1:12" ht="14.25" customHeight="1" x14ac:dyDescent="0.25">
      <c r="A42" s="57">
        <f>IF(B42&lt;&gt;"", COUNTA($B$23:B42), "")</f>
        <v>20</v>
      </c>
      <c r="B42" s="188">
        <v>3020</v>
      </c>
      <c r="C42" s="189" t="s">
        <v>285</v>
      </c>
      <c r="D42" s="61"/>
      <c r="E42" s="61"/>
      <c r="F42" s="187">
        <v>15</v>
      </c>
      <c r="G42" s="187">
        <v>10</v>
      </c>
      <c r="H42" s="187">
        <v>9</v>
      </c>
      <c r="I42" s="187">
        <v>10</v>
      </c>
      <c r="J42" s="187">
        <v>13</v>
      </c>
      <c r="K42" s="187">
        <v>9</v>
      </c>
    </row>
    <row r="43" spans="1:12" ht="14.25" customHeight="1" x14ac:dyDescent="0.25">
      <c r="A43" s="57">
        <f>IF(B43&lt;&gt;"", COUNTA($B$23:B43), "")</f>
        <v>21</v>
      </c>
      <c r="B43" s="188">
        <v>3021</v>
      </c>
      <c r="C43" s="189" t="s">
        <v>286</v>
      </c>
      <c r="D43" s="61"/>
      <c r="E43" s="61"/>
      <c r="F43" s="187">
        <v>7</v>
      </c>
      <c r="G43" s="187">
        <v>6</v>
      </c>
      <c r="H43" s="187">
        <v>6</v>
      </c>
      <c r="I43" s="187">
        <v>5</v>
      </c>
      <c r="J43" s="187">
        <v>5</v>
      </c>
      <c r="K43" s="187">
        <v>6</v>
      </c>
    </row>
    <row r="44" spans="1:12" ht="14.25" customHeight="1" x14ac:dyDescent="0.25">
      <c r="A44" s="57">
        <f>IF(B44&lt;&gt;"", COUNTA($B$23:B44), "")</f>
        <v>22</v>
      </c>
      <c r="B44" s="188">
        <v>3022</v>
      </c>
      <c r="C44" s="189" t="s">
        <v>287</v>
      </c>
      <c r="D44" s="61"/>
      <c r="E44" s="61"/>
      <c r="F44" s="187">
        <v>8</v>
      </c>
      <c r="G44" s="187">
        <v>13</v>
      </c>
      <c r="H44" s="187">
        <v>16</v>
      </c>
      <c r="I44" s="187">
        <v>6</v>
      </c>
      <c r="J44" s="187">
        <v>9</v>
      </c>
      <c r="K44" s="187">
        <v>16</v>
      </c>
    </row>
    <row r="45" spans="1:12" ht="14.25" customHeight="1" x14ac:dyDescent="0.25">
      <c r="A45" s="57">
        <f>IF(B45&lt;&gt;"", COUNTA($B$23:B45), "")</f>
        <v>23</v>
      </c>
      <c r="B45" s="188">
        <v>3023</v>
      </c>
      <c r="C45" s="189" t="s">
        <v>288</v>
      </c>
      <c r="D45" s="61"/>
      <c r="E45" s="61"/>
      <c r="F45" s="187">
        <v>8</v>
      </c>
      <c r="G45" s="187">
        <v>5</v>
      </c>
      <c r="H45" s="187">
        <v>5</v>
      </c>
      <c r="I45" s="187">
        <v>5</v>
      </c>
      <c r="J45" s="187">
        <v>6</v>
      </c>
      <c r="K45" s="187">
        <v>5</v>
      </c>
    </row>
    <row r="46" spans="1:12" ht="14.25" customHeight="1" x14ac:dyDescent="0.25">
      <c r="A46" s="57">
        <f>IF(B46&lt;&gt;"", COUNTA($B$23:B46), "")</f>
        <v>24</v>
      </c>
      <c r="B46" s="188">
        <v>3024</v>
      </c>
      <c r="C46" s="189" t="s">
        <v>289</v>
      </c>
      <c r="D46" s="61"/>
      <c r="E46" s="61"/>
      <c r="F46" s="187">
        <v>8</v>
      </c>
      <c r="G46" s="187">
        <v>5</v>
      </c>
      <c r="H46" s="187">
        <v>7</v>
      </c>
      <c r="I46" s="187">
        <v>5</v>
      </c>
      <c r="J46" s="187">
        <v>8</v>
      </c>
      <c r="K46" s="187">
        <v>7</v>
      </c>
    </row>
    <row r="47" spans="1:12" ht="14.25" customHeight="1" x14ac:dyDescent="0.3">
      <c r="A47" s="57" t="str">
        <f>IF(B47&lt;&gt;"", COUNTA($B$23:B47), "")</f>
        <v/>
      </c>
      <c r="B47" s="77"/>
      <c r="C47" s="78"/>
      <c r="D47" s="61"/>
      <c r="E47" s="61"/>
      <c r="F47" s="79"/>
      <c r="G47" s="79"/>
      <c r="H47" s="79"/>
      <c r="I47" s="79"/>
      <c r="J47" s="79"/>
      <c r="K47" s="80"/>
    </row>
    <row r="48" spans="1:12" ht="14.25" customHeight="1" x14ac:dyDescent="0.3">
      <c r="A48" s="57" t="str">
        <f>IF(B48&lt;&gt;"", COUNTA($B$23:B48), "")</f>
        <v/>
      </c>
      <c r="B48" s="77"/>
      <c r="C48" s="78"/>
      <c r="D48" s="61"/>
      <c r="E48" s="61"/>
      <c r="F48" s="79"/>
      <c r="G48" s="79"/>
      <c r="H48" s="79"/>
      <c r="I48" s="79"/>
      <c r="J48" s="79"/>
      <c r="K48" s="80"/>
    </row>
    <row r="49" spans="1:11" ht="14.25" customHeight="1" x14ac:dyDescent="0.3">
      <c r="A49" s="57" t="str">
        <f>IF(B49&lt;&gt;"", COUNTA($B$23:B49), "")</f>
        <v/>
      </c>
      <c r="B49" s="77"/>
      <c r="C49" s="78"/>
      <c r="D49" s="61"/>
      <c r="E49" s="61"/>
      <c r="F49" s="79"/>
      <c r="G49" s="79"/>
      <c r="H49" s="79"/>
      <c r="I49" s="79"/>
      <c r="J49" s="79"/>
      <c r="K49" s="80"/>
    </row>
    <row r="50" spans="1:11" ht="14.25" customHeight="1" x14ac:dyDescent="0.3">
      <c r="A50" s="57" t="str">
        <f>IF(B50&lt;&gt;"", COUNTA($B$23:B50), "")</f>
        <v/>
      </c>
      <c r="B50" s="77"/>
      <c r="C50" s="78"/>
      <c r="D50" s="61"/>
      <c r="E50" s="61"/>
      <c r="F50" s="79"/>
      <c r="G50" s="79"/>
      <c r="H50" s="79"/>
      <c r="I50" s="79"/>
      <c r="J50" s="79"/>
      <c r="K50" s="80"/>
    </row>
    <row r="51" spans="1:11" ht="14.25" customHeight="1" x14ac:dyDescent="0.3">
      <c r="A51" s="57" t="str">
        <f>IF(B51&lt;&gt;"", COUNTA($B$23:B51), "")</f>
        <v/>
      </c>
      <c r="B51" s="77"/>
      <c r="C51" s="78"/>
      <c r="D51" s="61"/>
      <c r="E51" s="61"/>
      <c r="F51" s="79"/>
      <c r="G51" s="79"/>
      <c r="H51" s="79"/>
      <c r="I51" s="79"/>
      <c r="J51" s="79"/>
      <c r="K51" s="80"/>
    </row>
    <row r="52" spans="1:11" ht="14.25" customHeight="1" x14ac:dyDescent="0.3">
      <c r="A52" s="57" t="str">
        <f>IF(B52&lt;&gt;"", COUNTA($B$23:B52), "")</f>
        <v/>
      </c>
      <c r="B52" s="77"/>
      <c r="C52" s="78"/>
      <c r="D52" s="61"/>
      <c r="E52" s="61"/>
      <c r="F52" s="79"/>
      <c r="G52" s="79"/>
      <c r="H52" s="79"/>
      <c r="I52" s="79"/>
      <c r="J52" s="79"/>
      <c r="K52" s="80"/>
    </row>
    <row r="53" spans="1:11" ht="14.25" customHeight="1" x14ac:dyDescent="0.3">
      <c r="A53" s="57" t="str">
        <f>IF(B53&lt;&gt;"", COUNTA($B$23:B53), "")</f>
        <v/>
      </c>
      <c r="B53" s="77"/>
      <c r="C53" s="78"/>
      <c r="D53" s="61"/>
      <c r="E53" s="61"/>
      <c r="F53" s="79"/>
      <c r="G53" s="79"/>
      <c r="H53" s="79"/>
      <c r="I53" s="79"/>
      <c r="J53" s="79"/>
      <c r="K53" s="80"/>
    </row>
    <row r="54" spans="1:11" ht="14.25" customHeight="1" x14ac:dyDescent="0.3">
      <c r="A54" s="57" t="str">
        <f>IF(B54&lt;&gt;"", COUNTA($B$23:B54), "")</f>
        <v/>
      </c>
      <c r="B54" s="77"/>
      <c r="C54" s="78"/>
      <c r="D54" s="61"/>
      <c r="E54" s="61"/>
      <c r="F54" s="79"/>
      <c r="G54" s="79"/>
      <c r="H54" s="79"/>
      <c r="I54" s="79"/>
      <c r="J54" s="79"/>
      <c r="K54" s="80"/>
    </row>
    <row r="55" spans="1:11" ht="14.25" customHeight="1" x14ac:dyDescent="0.3">
      <c r="A55" s="57" t="str">
        <f>IF(B55&lt;&gt;"", COUNTA($B$23:B55), "")</f>
        <v/>
      </c>
      <c r="B55" s="77"/>
      <c r="C55" s="78"/>
      <c r="D55" s="61"/>
      <c r="E55" s="61"/>
      <c r="F55" s="79"/>
      <c r="G55" s="79"/>
      <c r="H55" s="79"/>
      <c r="I55" s="79"/>
      <c r="J55" s="79"/>
      <c r="K55" s="80"/>
    </row>
    <row r="56" spans="1:11" ht="14.25" customHeight="1" x14ac:dyDescent="0.3">
      <c r="A56" s="57" t="str">
        <f>IF(B56&lt;&gt;"", COUNTA($B$23:B56), "")</f>
        <v/>
      </c>
      <c r="B56" s="77"/>
      <c r="C56" s="78"/>
      <c r="D56" s="61"/>
      <c r="E56" s="61"/>
      <c r="F56" s="79"/>
      <c r="G56" s="79"/>
      <c r="H56" s="79"/>
      <c r="I56" s="79"/>
      <c r="J56" s="79"/>
      <c r="K56" s="80"/>
    </row>
    <row r="57" spans="1:11" ht="14.25" customHeight="1" x14ac:dyDescent="0.3">
      <c r="A57" s="57" t="str">
        <f>IF(B57&lt;&gt;"", COUNTA($B$23:B57), "")</f>
        <v/>
      </c>
      <c r="B57" s="77"/>
      <c r="C57" s="78"/>
      <c r="D57" s="61"/>
      <c r="E57" s="61"/>
      <c r="F57" s="79"/>
      <c r="G57" s="79"/>
      <c r="H57" s="79"/>
      <c r="I57" s="80"/>
      <c r="J57" s="80"/>
      <c r="K57" s="80"/>
    </row>
    <row r="58" spans="1:11" ht="14.25" customHeight="1" x14ac:dyDescent="0.3">
      <c r="A58" s="57" t="str">
        <f>IF(B58&lt;&gt;"", COUNTA($B$23:B58), "")</f>
        <v/>
      </c>
      <c r="B58" s="77"/>
      <c r="C58" s="78"/>
      <c r="D58" s="61"/>
      <c r="E58" s="61"/>
      <c r="F58" s="79"/>
      <c r="G58" s="79"/>
      <c r="H58" s="79"/>
      <c r="I58" s="79"/>
      <c r="J58" s="79"/>
      <c r="K58" s="80"/>
    </row>
    <row r="59" spans="1:11" ht="14.25" customHeight="1" x14ac:dyDescent="0.3">
      <c r="A59" s="57" t="str">
        <f>IF(B59&lt;&gt;"", COUNTA($B$23:B59), "")</f>
        <v/>
      </c>
      <c r="B59" s="77"/>
      <c r="C59" s="78"/>
      <c r="D59" s="61"/>
      <c r="E59" s="61"/>
      <c r="F59" s="79"/>
      <c r="G59" s="79"/>
      <c r="H59" s="79"/>
      <c r="I59" s="79"/>
      <c r="J59" s="79"/>
      <c r="K59" s="80"/>
    </row>
    <row r="60" spans="1:11" ht="14.25" customHeight="1" x14ac:dyDescent="0.3">
      <c r="A60" s="57" t="str">
        <f>IF(B60&lt;&gt;"", COUNTA($B$23:B60), "")</f>
        <v/>
      </c>
      <c r="B60" s="77"/>
      <c r="C60" s="78"/>
      <c r="D60" s="61"/>
      <c r="E60" s="61"/>
      <c r="F60" s="79"/>
      <c r="G60" s="79"/>
      <c r="H60" s="79"/>
      <c r="I60" s="79"/>
      <c r="J60" s="79"/>
      <c r="K60" s="80"/>
    </row>
    <row r="61" spans="1:11" ht="14.25" customHeight="1" x14ac:dyDescent="0.3">
      <c r="A61" s="57" t="str">
        <f>IF(B61&lt;&gt;"", COUNTA($B$23:B61), "")</f>
        <v/>
      </c>
      <c r="B61" s="77"/>
      <c r="C61" s="78"/>
      <c r="D61" s="61"/>
      <c r="E61" s="61"/>
      <c r="F61" s="79"/>
      <c r="G61" s="79"/>
      <c r="H61" s="79"/>
      <c r="I61" s="79"/>
      <c r="J61" s="79"/>
      <c r="K61" s="80"/>
    </row>
    <row r="62" spans="1:11" ht="14.25" customHeight="1" x14ac:dyDescent="0.3">
      <c r="A62" s="57" t="str">
        <f>IF(B62&lt;&gt;"", COUNTA($B$23:B62), "")</f>
        <v/>
      </c>
      <c r="B62" s="77"/>
      <c r="C62" s="78"/>
      <c r="D62" s="61"/>
      <c r="E62" s="61"/>
      <c r="F62" s="79"/>
      <c r="G62" s="79"/>
      <c r="H62" s="79"/>
      <c r="I62" s="79"/>
      <c r="J62" s="79"/>
      <c r="K62" s="80"/>
    </row>
    <row r="63" spans="1:11" ht="14.25" customHeight="1" x14ac:dyDescent="0.3">
      <c r="A63" s="57" t="str">
        <f>IF(B63&lt;&gt;"", COUNTA($B$23:B63), "")</f>
        <v/>
      </c>
      <c r="B63" s="77"/>
      <c r="C63" s="78"/>
      <c r="D63" s="61"/>
      <c r="E63" s="61"/>
      <c r="F63" s="79"/>
      <c r="G63" s="79"/>
      <c r="H63" s="79"/>
      <c r="I63" s="79"/>
      <c r="J63" s="79"/>
      <c r="K63" s="80"/>
    </row>
    <row r="64" spans="1:11" ht="14.25" customHeight="1" x14ac:dyDescent="0.3">
      <c r="A64" s="57" t="str">
        <f>IF(B64&lt;&gt;"", COUNTA($B$23:B64), "")</f>
        <v/>
      </c>
      <c r="B64" s="77"/>
      <c r="C64" s="78"/>
      <c r="D64" s="61"/>
      <c r="E64" s="61"/>
      <c r="F64" s="79"/>
      <c r="G64" s="79"/>
      <c r="H64" s="79"/>
      <c r="I64" s="79"/>
      <c r="J64" s="79"/>
      <c r="K64" s="80"/>
    </row>
    <row r="65" spans="1:11" ht="14.25" customHeight="1" x14ac:dyDescent="0.3">
      <c r="A65" s="57" t="str">
        <f>IF(B65&lt;&gt;"", COUNTA($B$23:B65), "")</f>
        <v/>
      </c>
      <c r="B65" s="77"/>
      <c r="C65" s="78"/>
      <c r="D65" s="61"/>
      <c r="E65" s="61"/>
      <c r="F65" s="79"/>
      <c r="G65" s="79"/>
      <c r="H65" s="79"/>
      <c r="I65" s="79"/>
      <c r="J65" s="79"/>
      <c r="K65" s="80"/>
    </row>
    <row r="66" spans="1:11" ht="14.25" customHeight="1" x14ac:dyDescent="0.3">
      <c r="A66" s="57" t="str">
        <f>IF(B66&lt;&gt;"", COUNTA($B$23:B66), "")</f>
        <v/>
      </c>
      <c r="B66" s="77"/>
      <c r="C66" s="78"/>
      <c r="D66" s="61"/>
      <c r="E66" s="61"/>
      <c r="F66" s="79"/>
      <c r="G66" s="79"/>
      <c r="H66" s="79"/>
      <c r="I66" s="79"/>
      <c r="J66" s="79"/>
      <c r="K66" s="80"/>
    </row>
    <row r="67" spans="1:11" ht="14.25" customHeight="1" x14ac:dyDescent="0.3">
      <c r="A67" s="57" t="str">
        <f>IF(B67&lt;&gt;"", COUNTA($B$23:B67), "")</f>
        <v/>
      </c>
      <c r="B67" s="77"/>
      <c r="C67" s="78"/>
      <c r="D67" s="61"/>
      <c r="E67" s="61"/>
      <c r="F67" s="79"/>
      <c r="G67" s="79"/>
      <c r="H67" s="79"/>
      <c r="I67" s="79"/>
      <c r="J67" s="79"/>
      <c r="K67" s="80"/>
    </row>
    <row r="68" spans="1:11" ht="14.25" customHeight="1" x14ac:dyDescent="0.3">
      <c r="A68" s="57" t="str">
        <f>IF(B68&lt;&gt;"", COUNTA($B$23:B68), "")</f>
        <v/>
      </c>
      <c r="B68" s="77"/>
      <c r="C68" s="78"/>
      <c r="D68" s="61"/>
      <c r="E68" s="61"/>
      <c r="F68" s="79"/>
      <c r="G68" s="79"/>
      <c r="H68" s="79"/>
      <c r="I68" s="79"/>
      <c r="J68" s="79"/>
      <c r="K68" s="80"/>
    </row>
    <row r="69" spans="1:11" ht="14.25" customHeight="1" x14ac:dyDescent="0.3">
      <c r="A69" s="57" t="str">
        <f>IF(B69&lt;&gt;"", COUNTA($B$23:B69), "")</f>
        <v/>
      </c>
      <c r="B69" s="77"/>
      <c r="C69" s="78"/>
      <c r="D69" s="61"/>
      <c r="E69" s="61"/>
      <c r="F69" s="79"/>
      <c r="G69" s="79"/>
      <c r="H69" s="79"/>
      <c r="I69" s="79"/>
      <c r="J69" s="79"/>
      <c r="K69" s="80"/>
    </row>
    <row r="70" spans="1:11" ht="14.25" customHeight="1" x14ac:dyDescent="0.3">
      <c r="A70" s="57" t="str">
        <f>IF(B70&lt;&gt;"", COUNTA($B$23:B70), "")</f>
        <v/>
      </c>
      <c r="B70" s="77"/>
      <c r="C70" s="78"/>
      <c r="D70" s="61"/>
      <c r="E70" s="61"/>
      <c r="F70" s="79"/>
      <c r="G70" s="79"/>
      <c r="H70" s="79"/>
      <c r="I70" s="79"/>
      <c r="J70" s="79"/>
      <c r="K70" s="80"/>
    </row>
    <row r="71" spans="1:11" ht="14.25" customHeight="1" x14ac:dyDescent="0.3">
      <c r="A71" s="57" t="str">
        <f>IF(B71&lt;&gt;"", COUNTA($B$23:B71), "")</f>
        <v/>
      </c>
      <c r="B71" s="77"/>
      <c r="C71" s="78"/>
      <c r="D71" s="61"/>
      <c r="E71" s="61"/>
      <c r="F71" s="79"/>
      <c r="G71" s="79"/>
      <c r="H71" s="79"/>
      <c r="I71" s="79"/>
      <c r="J71" s="79"/>
      <c r="K71" s="80"/>
    </row>
    <row r="72" spans="1:11" ht="14.25" customHeight="1" x14ac:dyDescent="0.3">
      <c r="A72" s="57" t="str">
        <f>IF(B72&lt;&gt;"", COUNTA($B$23:B72), "")</f>
        <v/>
      </c>
      <c r="B72" s="77"/>
      <c r="C72" s="78"/>
      <c r="D72" s="61"/>
      <c r="E72" s="61"/>
      <c r="F72" s="79"/>
      <c r="G72" s="79"/>
      <c r="H72" s="79"/>
      <c r="I72" s="79"/>
      <c r="J72" s="79"/>
      <c r="K72" s="80"/>
    </row>
    <row r="73" spans="1:11" ht="14.25" customHeight="1" x14ac:dyDescent="0.3">
      <c r="A73" s="57" t="str">
        <f>IF(B73&lt;&gt;"", COUNTA($B$23:B73), "")</f>
        <v/>
      </c>
      <c r="B73" s="77"/>
      <c r="C73" s="78"/>
      <c r="D73" s="61"/>
      <c r="E73" s="61"/>
      <c r="F73" s="79"/>
      <c r="G73" s="79"/>
      <c r="H73" s="79"/>
      <c r="I73" s="79"/>
      <c r="J73" s="79"/>
      <c r="K73" s="80"/>
    </row>
    <row r="74" spans="1:11" ht="14.25" customHeight="1" x14ac:dyDescent="0.3">
      <c r="A74" s="57" t="str">
        <f>IF(B74&lt;&gt;"", COUNTA($B$23:B74), "")</f>
        <v/>
      </c>
      <c r="B74" s="77"/>
      <c r="C74" s="78"/>
      <c r="D74" s="61"/>
      <c r="E74" s="61"/>
      <c r="F74" s="79"/>
      <c r="G74" s="79"/>
      <c r="H74" s="79"/>
      <c r="I74" s="80"/>
      <c r="J74" s="80"/>
      <c r="K74" s="80"/>
    </row>
    <row r="75" spans="1:11" ht="14.25" customHeight="1" x14ac:dyDescent="0.3">
      <c r="A75" s="57" t="str">
        <f>IF(B75&lt;&gt;"", COUNTA($B$23:B75), "")</f>
        <v/>
      </c>
      <c r="B75" s="77"/>
      <c r="C75" s="78"/>
      <c r="D75" s="61"/>
      <c r="E75" s="61"/>
      <c r="F75" s="79"/>
      <c r="G75" s="79"/>
      <c r="H75" s="79"/>
      <c r="I75" s="79"/>
      <c r="J75" s="79"/>
      <c r="K75" s="80"/>
    </row>
    <row r="76" spans="1:11" ht="14.25" customHeight="1" x14ac:dyDescent="0.3">
      <c r="A76" s="57" t="str">
        <f>IF(B76&lt;&gt;"", COUNTA($B$23:B76), "")</f>
        <v/>
      </c>
      <c r="B76" s="77"/>
      <c r="C76" s="78"/>
      <c r="D76" s="61"/>
      <c r="E76" s="61"/>
      <c r="F76" s="79"/>
      <c r="G76" s="79"/>
      <c r="H76" s="79"/>
      <c r="I76" s="79"/>
      <c r="J76" s="79"/>
      <c r="K76" s="80"/>
    </row>
    <row r="77" spans="1:11" ht="14.25" customHeight="1" x14ac:dyDescent="0.3">
      <c r="A77" s="57" t="str">
        <f>IF(B77&lt;&gt;"", COUNTA($B$23:B77), "")</f>
        <v/>
      </c>
      <c r="B77" s="77"/>
      <c r="C77" s="78"/>
      <c r="D77" s="61"/>
      <c r="E77" s="61"/>
      <c r="F77" s="79"/>
      <c r="G77" s="79"/>
      <c r="H77" s="79"/>
      <c r="I77" s="79"/>
      <c r="J77" s="79"/>
      <c r="K77" s="80"/>
    </row>
    <row r="78" spans="1:11" ht="14.25" customHeight="1" x14ac:dyDescent="0.3">
      <c r="A78" s="57" t="str">
        <f>IF(B78&lt;&gt;"", COUNTA($B$23:B78), "")</f>
        <v/>
      </c>
      <c r="B78" s="77"/>
      <c r="C78" s="78"/>
      <c r="D78" s="61"/>
      <c r="E78" s="61"/>
      <c r="F78" s="79"/>
      <c r="G78" s="79"/>
      <c r="H78" s="79"/>
      <c r="I78" s="79"/>
      <c r="J78" s="79"/>
      <c r="K78" s="80"/>
    </row>
    <row r="79" spans="1:11" ht="14.25" customHeight="1" x14ac:dyDescent="0.3">
      <c r="A79" s="57" t="str">
        <f>IF(B79&lt;&gt;"", COUNTA($B$23:B79), "")</f>
        <v/>
      </c>
      <c r="B79" s="77"/>
      <c r="C79" s="78"/>
      <c r="D79" s="61"/>
      <c r="E79" s="61"/>
      <c r="F79" s="79"/>
      <c r="G79" s="79"/>
      <c r="H79" s="79"/>
      <c r="I79" s="79"/>
      <c r="J79" s="79"/>
      <c r="K79" s="80"/>
    </row>
    <row r="80" spans="1:11" ht="14.25" customHeight="1" x14ac:dyDescent="0.3">
      <c r="A80" s="57" t="str">
        <f>IF(B80&lt;&gt;"", COUNTA($B$23:B80), "")</f>
        <v/>
      </c>
      <c r="B80" s="77"/>
      <c r="C80" s="78"/>
      <c r="D80" s="61"/>
      <c r="E80" s="61"/>
      <c r="F80" s="79"/>
      <c r="G80" s="79"/>
      <c r="H80" s="79"/>
      <c r="I80" s="79"/>
      <c r="J80" s="79"/>
      <c r="K80" s="80"/>
    </row>
    <row r="81" spans="1:11" ht="14.25" customHeight="1" x14ac:dyDescent="0.3">
      <c r="A81" s="57" t="str">
        <f>IF(B81&lt;&gt;"", COUNTA($B$23:B81), "")</f>
        <v/>
      </c>
      <c r="B81" s="77"/>
      <c r="C81" s="78"/>
      <c r="D81" s="61"/>
      <c r="E81" s="61"/>
      <c r="F81" s="79"/>
      <c r="G81" s="79"/>
      <c r="H81" s="79"/>
      <c r="I81" s="79"/>
      <c r="J81" s="79"/>
      <c r="K81" s="80"/>
    </row>
    <row r="82" spans="1:11" ht="14.25" customHeight="1" x14ac:dyDescent="0.3">
      <c r="A82" s="57" t="str">
        <f>IF(B82&lt;&gt;"", COUNTA($B$23:B82), "")</f>
        <v/>
      </c>
      <c r="B82" s="77"/>
      <c r="C82" s="78"/>
      <c r="D82" s="61"/>
      <c r="E82" s="61"/>
      <c r="F82" s="79"/>
      <c r="G82" s="79"/>
      <c r="H82" s="79"/>
      <c r="I82" s="79"/>
      <c r="J82" s="79"/>
      <c r="K82" s="80"/>
    </row>
    <row r="83" spans="1:11" ht="14.25" customHeight="1" x14ac:dyDescent="0.3">
      <c r="A83" s="57" t="str">
        <f>IF(B83&lt;&gt;"", COUNTA($B$23:B83), "")</f>
        <v/>
      </c>
      <c r="B83" s="77"/>
      <c r="C83" s="78"/>
      <c r="D83" s="61"/>
      <c r="E83" s="61"/>
      <c r="F83" s="79"/>
      <c r="G83" s="79"/>
      <c r="H83" s="79"/>
      <c r="I83" s="79"/>
      <c r="J83" s="79"/>
      <c r="K83" s="80"/>
    </row>
    <row r="84" spans="1:11" ht="14.25" customHeight="1" x14ac:dyDescent="0.3">
      <c r="A84" s="57" t="str">
        <f>IF(B84&lt;&gt;"", COUNTA($B$23:B84), "")</f>
        <v/>
      </c>
      <c r="B84" s="77"/>
      <c r="C84" s="78"/>
      <c r="D84" s="61"/>
      <c r="E84" s="61"/>
      <c r="F84" s="79"/>
      <c r="G84" s="79"/>
      <c r="H84" s="79"/>
      <c r="I84" s="79"/>
      <c r="J84" s="79"/>
      <c r="K84" s="80"/>
    </row>
    <row r="85" spans="1:11" ht="14.25" customHeight="1" x14ac:dyDescent="0.3">
      <c r="A85" s="57" t="str">
        <f>IF(B85&lt;&gt;"", COUNTA($B$23:B85), "")</f>
        <v/>
      </c>
      <c r="B85" s="77"/>
      <c r="C85" s="78"/>
      <c r="D85" s="61"/>
      <c r="E85" s="61"/>
      <c r="F85" s="79"/>
      <c r="G85" s="79"/>
      <c r="H85" s="79"/>
      <c r="I85" s="79"/>
      <c r="J85" s="79"/>
      <c r="K85" s="80"/>
    </row>
    <row r="86" spans="1:11" ht="14.25" customHeight="1" x14ac:dyDescent="0.3">
      <c r="A86" s="57" t="str">
        <f>IF(B86&lt;&gt;"", COUNTA($B$23:B86), "")</f>
        <v/>
      </c>
      <c r="B86" s="77"/>
      <c r="C86" s="78"/>
      <c r="D86" s="61"/>
      <c r="E86" s="61"/>
      <c r="F86" s="79"/>
      <c r="G86" s="79"/>
      <c r="H86" s="79"/>
      <c r="I86" s="79"/>
      <c r="J86" s="79"/>
      <c r="K86" s="80"/>
    </row>
    <row r="87" spans="1:11" ht="14.25" customHeight="1" x14ac:dyDescent="0.3">
      <c r="A87" s="57" t="str">
        <f>IF(B87&lt;&gt;"", COUNTA($B$23:B87), "")</f>
        <v/>
      </c>
      <c r="B87" s="77"/>
      <c r="C87" s="78"/>
      <c r="D87" s="61"/>
      <c r="E87" s="61"/>
      <c r="F87" s="79"/>
      <c r="G87" s="79"/>
      <c r="H87" s="79"/>
      <c r="I87" s="79"/>
      <c r="J87" s="79"/>
      <c r="K87" s="80"/>
    </row>
    <row r="88" spans="1:11" ht="14.25" customHeight="1" x14ac:dyDescent="0.3">
      <c r="A88" s="57" t="str">
        <f>IF(B88&lt;&gt;"", COUNTA($B$23:B88), "")</f>
        <v/>
      </c>
      <c r="B88" s="77"/>
      <c r="C88" s="78"/>
      <c r="D88" s="61"/>
      <c r="E88" s="61"/>
      <c r="F88" s="79"/>
      <c r="G88" s="79"/>
      <c r="H88" s="79"/>
      <c r="I88" s="79"/>
      <c r="J88" s="79"/>
      <c r="K88" s="80"/>
    </row>
    <row r="89" spans="1:11" ht="14.25" customHeight="1" x14ac:dyDescent="0.3">
      <c r="A89" s="57" t="str">
        <f>IF(B89&lt;&gt;"", COUNTA($B$23:B89), "")</f>
        <v/>
      </c>
      <c r="B89" s="77"/>
      <c r="C89" s="78"/>
      <c r="D89" s="61"/>
      <c r="E89" s="61"/>
      <c r="F89" s="79"/>
      <c r="G89" s="79"/>
      <c r="H89" s="79"/>
      <c r="I89" s="79"/>
      <c r="J89" s="79"/>
      <c r="K89" s="80"/>
    </row>
    <row r="90" spans="1:11" ht="14.25" customHeight="1" x14ac:dyDescent="0.3">
      <c r="A90" s="57" t="str">
        <f>IF(B90&lt;&gt;"", COUNTA($B$23:B90), "")</f>
        <v/>
      </c>
      <c r="B90" s="77"/>
      <c r="C90" s="78"/>
      <c r="D90" s="61"/>
      <c r="E90" s="61"/>
      <c r="F90" s="79"/>
      <c r="G90" s="79"/>
      <c r="H90" s="79"/>
      <c r="I90" s="79"/>
      <c r="J90" s="79"/>
      <c r="K90" s="80"/>
    </row>
    <row r="91" spans="1:11" ht="14.25" customHeight="1" x14ac:dyDescent="0.3">
      <c r="A91" s="57" t="str">
        <f>IF(B91&lt;&gt;"", COUNTA($B$23:B91), "")</f>
        <v/>
      </c>
      <c r="B91" s="77"/>
      <c r="C91" s="78"/>
      <c r="D91" s="61"/>
      <c r="E91" s="61"/>
      <c r="F91" s="79"/>
      <c r="G91" s="79"/>
      <c r="H91" s="79"/>
      <c r="I91" s="80"/>
      <c r="J91" s="80"/>
      <c r="K91" s="80"/>
    </row>
    <row r="92" spans="1:11" ht="14.25" customHeight="1" x14ac:dyDescent="0.3">
      <c r="A92" s="57" t="str">
        <f>IF(B92&lt;&gt;"", COUNTA($B$23:B92), "")</f>
        <v/>
      </c>
      <c r="B92" s="77"/>
      <c r="C92" s="78"/>
      <c r="D92" s="61"/>
      <c r="E92" s="61"/>
      <c r="F92" s="79"/>
      <c r="G92" s="79"/>
      <c r="H92" s="79"/>
      <c r="I92" s="79"/>
      <c r="J92" s="79"/>
      <c r="K92" s="80"/>
    </row>
    <row r="93" spans="1:11" ht="14.25" customHeight="1" x14ac:dyDescent="0.3">
      <c r="A93" s="57" t="str">
        <f>IF(B93&lt;&gt;"", COUNTA($B$23:B93), "")</f>
        <v/>
      </c>
      <c r="B93" s="77"/>
      <c r="C93" s="78"/>
      <c r="D93" s="61"/>
      <c r="E93" s="61"/>
      <c r="F93" s="79"/>
      <c r="G93" s="79"/>
      <c r="H93" s="79"/>
      <c r="I93" s="79"/>
      <c r="J93" s="79"/>
      <c r="K93" s="80"/>
    </row>
    <row r="94" spans="1:11" ht="14.25" customHeight="1" x14ac:dyDescent="0.3">
      <c r="A94" s="57" t="str">
        <f>IF(B94&lt;&gt;"", COUNTA($B$23:B94), "")</f>
        <v/>
      </c>
      <c r="B94" s="77"/>
      <c r="C94" s="78"/>
      <c r="D94" s="61"/>
      <c r="E94" s="61"/>
      <c r="F94" s="79"/>
      <c r="G94" s="79"/>
      <c r="H94" s="79"/>
      <c r="I94" s="79"/>
      <c r="J94" s="79"/>
      <c r="K94" s="80"/>
    </row>
    <row r="95" spans="1:11" ht="14.25" customHeight="1" x14ac:dyDescent="0.3">
      <c r="A95" s="57" t="str">
        <f>IF(B95&lt;&gt;"", COUNTA($B$23:B95), "")</f>
        <v/>
      </c>
      <c r="B95" s="77"/>
      <c r="C95" s="78"/>
      <c r="D95" s="61"/>
      <c r="E95" s="61"/>
      <c r="F95" s="79"/>
      <c r="G95" s="79"/>
      <c r="H95" s="79"/>
      <c r="I95" s="79"/>
      <c r="J95" s="79"/>
      <c r="K95" s="80"/>
    </row>
    <row r="96" spans="1:11" ht="14.25" customHeight="1" x14ac:dyDescent="0.3">
      <c r="A96" s="57" t="str">
        <f>IF(B96&lt;&gt;"", COUNTA($B$23:B96), "")</f>
        <v/>
      </c>
      <c r="B96" s="77"/>
      <c r="C96" s="78"/>
      <c r="D96" s="61"/>
      <c r="E96" s="61"/>
      <c r="F96" s="79"/>
      <c r="G96" s="79"/>
      <c r="H96" s="79"/>
      <c r="I96" s="79"/>
      <c r="J96" s="79"/>
      <c r="K96" s="80"/>
    </row>
    <row r="97" spans="1:11" ht="14.25" customHeight="1" x14ac:dyDescent="0.3">
      <c r="A97" s="57" t="str">
        <f>IF(B97&lt;&gt;"", COUNTA($B$23:B97), "")</f>
        <v/>
      </c>
      <c r="B97" s="77"/>
      <c r="C97" s="78"/>
      <c r="D97" s="61"/>
      <c r="E97" s="61"/>
      <c r="F97" s="79"/>
      <c r="G97" s="79"/>
      <c r="H97" s="79"/>
      <c r="I97" s="79"/>
      <c r="J97" s="79"/>
      <c r="K97" s="80"/>
    </row>
    <row r="98" spans="1:11" ht="14.25" customHeight="1" x14ac:dyDescent="0.3">
      <c r="A98" s="57" t="str">
        <f>IF(B98&lt;&gt;"", COUNTA($B$23:B98), "")</f>
        <v/>
      </c>
      <c r="B98" s="77"/>
      <c r="C98" s="78"/>
      <c r="D98" s="61"/>
      <c r="E98" s="61"/>
      <c r="F98" s="79"/>
      <c r="G98" s="79"/>
      <c r="H98" s="79"/>
      <c r="I98" s="79"/>
      <c r="J98" s="79"/>
      <c r="K98" s="80"/>
    </row>
    <row r="99" spans="1:11" ht="14.25" customHeight="1" x14ac:dyDescent="0.3">
      <c r="A99" s="57" t="str">
        <f>IF(B99&lt;&gt;"", COUNTA($B$23:B99), "")</f>
        <v/>
      </c>
      <c r="B99" s="77"/>
      <c r="C99" s="78"/>
      <c r="D99" s="61"/>
      <c r="E99" s="61"/>
      <c r="F99" s="79"/>
      <c r="G99" s="79"/>
      <c r="H99" s="79"/>
      <c r="I99" s="79"/>
      <c r="J99" s="79"/>
      <c r="K99" s="80"/>
    </row>
    <row r="100" spans="1:11" ht="14.25" customHeight="1" x14ac:dyDescent="0.3">
      <c r="A100" s="57" t="str">
        <f>IF(B100&lt;&gt;"", COUNTA($B$23:B100), "")</f>
        <v/>
      </c>
      <c r="B100" s="77"/>
      <c r="C100" s="78"/>
      <c r="D100" s="61"/>
      <c r="E100" s="61"/>
      <c r="F100" s="79"/>
      <c r="G100" s="79"/>
      <c r="H100" s="79"/>
      <c r="I100" s="79"/>
      <c r="J100" s="79"/>
      <c r="K100" s="80"/>
    </row>
    <row r="101" spans="1:11" ht="14.25" customHeight="1" x14ac:dyDescent="0.3">
      <c r="A101" s="57" t="str">
        <f>IF(B101&lt;&gt;"", COUNTA($B$23:B101), "")</f>
        <v/>
      </c>
      <c r="B101" s="77"/>
      <c r="C101" s="78"/>
      <c r="D101" s="61"/>
      <c r="E101" s="61"/>
      <c r="F101" s="79"/>
      <c r="G101" s="79"/>
      <c r="H101" s="79"/>
      <c r="I101" s="79"/>
      <c r="J101" s="79"/>
      <c r="K101" s="80"/>
    </row>
    <row r="102" spans="1:11" ht="14.25" customHeight="1" x14ac:dyDescent="0.3">
      <c r="A102" s="57" t="str">
        <f>IF(B102&lt;&gt;"", COUNTA($B$23:B102), "")</f>
        <v/>
      </c>
      <c r="B102" s="77"/>
      <c r="C102" s="78"/>
      <c r="D102" s="61"/>
      <c r="E102" s="61"/>
      <c r="F102" s="79"/>
      <c r="G102" s="79"/>
      <c r="H102" s="79"/>
      <c r="I102" s="79"/>
      <c r="J102" s="79"/>
      <c r="K102" s="80"/>
    </row>
    <row r="103" spans="1:11" ht="14.25" customHeight="1" x14ac:dyDescent="0.3">
      <c r="A103" s="57" t="str">
        <f>IF(B103&lt;&gt;"", COUNTA($B$23:B103), "")</f>
        <v/>
      </c>
      <c r="B103" s="77"/>
      <c r="C103" s="78"/>
      <c r="D103" s="61"/>
      <c r="E103" s="61"/>
      <c r="F103" s="79"/>
      <c r="G103" s="79"/>
      <c r="H103" s="79"/>
      <c r="I103" s="79"/>
      <c r="J103" s="79"/>
      <c r="K103" s="80"/>
    </row>
    <row r="104" spans="1:11" ht="14.25" customHeight="1" x14ac:dyDescent="0.3">
      <c r="A104" s="57" t="str">
        <f>IF(B104&lt;&gt;"", COUNTA($B$23:B104), "")</f>
        <v/>
      </c>
      <c r="B104" s="77"/>
      <c r="C104" s="78"/>
      <c r="D104" s="61"/>
      <c r="E104" s="61"/>
      <c r="F104" s="79"/>
      <c r="G104" s="79"/>
      <c r="H104" s="79"/>
      <c r="I104" s="79"/>
      <c r="J104" s="79"/>
      <c r="K104" s="80"/>
    </row>
    <row r="105" spans="1:11" ht="14.25" customHeight="1" x14ac:dyDescent="0.3">
      <c r="A105" s="57" t="str">
        <f>IF(B105&lt;&gt;"", COUNTA($B$23:B105), "")</f>
        <v/>
      </c>
      <c r="B105" s="77"/>
      <c r="C105" s="78"/>
      <c r="D105" s="61"/>
      <c r="E105" s="61"/>
      <c r="F105" s="79"/>
      <c r="G105" s="79"/>
      <c r="H105" s="79"/>
      <c r="I105" s="79"/>
      <c r="J105" s="79"/>
      <c r="K105" s="80"/>
    </row>
    <row r="106" spans="1:11" ht="14.25" customHeight="1" x14ac:dyDescent="0.3">
      <c r="A106" s="57" t="str">
        <f>IF(B106&lt;&gt;"", COUNTA($B$23:B106), "")</f>
        <v/>
      </c>
      <c r="B106" s="77"/>
      <c r="C106" s="78"/>
      <c r="D106" s="61"/>
      <c r="E106" s="61"/>
      <c r="F106" s="79"/>
      <c r="G106" s="79"/>
      <c r="H106" s="79"/>
      <c r="I106" s="79"/>
      <c r="J106" s="79"/>
      <c r="K106" s="80"/>
    </row>
    <row r="107" spans="1:11" ht="14.25" customHeight="1" x14ac:dyDescent="0.3">
      <c r="A107" s="57" t="str">
        <f>IF(B107&lt;&gt;"", COUNTA($B$23:B107), "")</f>
        <v/>
      </c>
      <c r="B107" s="77"/>
      <c r="C107" s="78"/>
      <c r="D107" s="61"/>
      <c r="E107" s="61"/>
      <c r="F107" s="79"/>
      <c r="G107" s="79"/>
      <c r="H107" s="79"/>
      <c r="I107" s="79"/>
      <c r="J107" s="79"/>
      <c r="K107" s="80"/>
    </row>
    <row r="108" spans="1:11" ht="14.25" customHeight="1" x14ac:dyDescent="0.3">
      <c r="A108" s="57" t="str">
        <f>IF(B108&lt;&gt;"", COUNTA($B$23:B108), "")</f>
        <v/>
      </c>
      <c r="B108" s="77"/>
      <c r="C108" s="78"/>
      <c r="D108" s="61"/>
      <c r="E108" s="61"/>
      <c r="F108" s="79"/>
      <c r="G108" s="79"/>
      <c r="H108" s="79"/>
      <c r="I108" s="80"/>
      <c r="J108" s="80"/>
      <c r="K108" s="80"/>
    </row>
    <row r="109" spans="1:11" ht="14.25" customHeight="1" x14ac:dyDescent="0.3">
      <c r="A109" s="57" t="str">
        <f>IF(B109&lt;&gt;"", COUNTA($B$23:B109), "")</f>
        <v/>
      </c>
      <c r="B109" s="77"/>
      <c r="C109" s="78"/>
      <c r="D109" s="61"/>
      <c r="E109" s="61"/>
      <c r="F109" s="79"/>
      <c r="G109" s="79"/>
      <c r="H109" s="79"/>
      <c r="I109" s="79"/>
      <c r="J109" s="79"/>
      <c r="K109" s="80"/>
    </row>
    <row r="110" spans="1:11" ht="14.25" customHeight="1" x14ac:dyDescent="0.3">
      <c r="A110" s="57" t="str">
        <f>IF(B110&lt;&gt;"", COUNTA($B$23:B110), "")</f>
        <v/>
      </c>
      <c r="B110" s="77"/>
      <c r="C110" s="78"/>
      <c r="D110" s="61"/>
      <c r="E110" s="61"/>
      <c r="F110" s="79"/>
      <c r="G110" s="79"/>
      <c r="H110" s="79"/>
      <c r="I110" s="79"/>
      <c r="J110" s="79"/>
      <c r="K110" s="80"/>
    </row>
    <row r="111" spans="1:11" ht="14.25" customHeight="1" x14ac:dyDescent="0.3">
      <c r="A111" s="57" t="str">
        <f>IF(B111&lt;&gt;"", COUNTA($B$23:B111), "")</f>
        <v/>
      </c>
      <c r="B111" s="77"/>
      <c r="C111" s="78"/>
      <c r="D111" s="61"/>
      <c r="E111" s="61"/>
      <c r="F111" s="79"/>
      <c r="G111" s="79"/>
      <c r="H111" s="79"/>
      <c r="I111" s="79"/>
      <c r="J111" s="79"/>
      <c r="K111" s="80"/>
    </row>
    <row r="112" spans="1:11" ht="14.25" customHeight="1" x14ac:dyDescent="0.3">
      <c r="A112" s="57" t="str">
        <f>IF(B112&lt;&gt;"", COUNTA($B$23:B112), "")</f>
        <v/>
      </c>
      <c r="B112" s="77"/>
      <c r="C112" s="78"/>
      <c r="D112" s="61"/>
      <c r="E112" s="61"/>
      <c r="F112" s="79"/>
      <c r="G112" s="79"/>
      <c r="H112" s="79"/>
      <c r="I112" s="79"/>
      <c r="J112" s="79"/>
      <c r="K112" s="80"/>
    </row>
    <row r="113" spans="1:11" ht="14.25" customHeight="1" x14ac:dyDescent="0.3">
      <c r="A113" s="57" t="str">
        <f>IF(B113&lt;&gt;"", COUNTA($B$23:B113), "")</f>
        <v/>
      </c>
      <c r="B113" s="77"/>
      <c r="C113" s="78"/>
      <c r="D113" s="61"/>
      <c r="E113" s="61"/>
      <c r="F113" s="79"/>
      <c r="G113" s="79"/>
      <c r="H113" s="79"/>
      <c r="I113" s="79"/>
      <c r="J113" s="79"/>
      <c r="K113" s="80"/>
    </row>
    <row r="114" spans="1:11" ht="14.25" customHeight="1" x14ac:dyDescent="0.3">
      <c r="A114" s="57" t="str">
        <f>IF(B114&lt;&gt;"", COUNTA($B$23:B114), "")</f>
        <v/>
      </c>
      <c r="B114" s="77"/>
      <c r="C114" s="78"/>
      <c r="D114" s="61"/>
      <c r="E114" s="61"/>
      <c r="F114" s="79"/>
      <c r="G114" s="79"/>
      <c r="H114" s="79"/>
      <c r="I114" s="79"/>
      <c r="J114" s="79"/>
      <c r="K114" s="80"/>
    </row>
    <row r="115" spans="1:11" ht="14.25" customHeight="1" x14ac:dyDescent="0.3">
      <c r="A115" s="57" t="str">
        <f>IF(B115&lt;&gt;"", COUNTA($B$23:B115), "")</f>
        <v/>
      </c>
      <c r="B115" s="77"/>
      <c r="C115" s="78"/>
      <c r="D115" s="61"/>
      <c r="E115" s="61"/>
      <c r="F115" s="79"/>
      <c r="G115" s="79"/>
      <c r="H115" s="79"/>
      <c r="I115" s="79"/>
      <c r="J115" s="79"/>
      <c r="K115" s="80"/>
    </row>
    <row r="116" spans="1:11" ht="14.25" customHeight="1" x14ac:dyDescent="0.3">
      <c r="A116" s="57" t="str">
        <f>IF(B116&lt;&gt;"", COUNTA($B$23:B116), "")</f>
        <v/>
      </c>
      <c r="B116" s="77"/>
      <c r="C116" s="78"/>
      <c r="D116" s="61"/>
      <c r="E116" s="61"/>
      <c r="F116" s="79"/>
      <c r="G116" s="79"/>
      <c r="H116" s="79"/>
      <c r="I116" s="79"/>
      <c r="J116" s="79"/>
      <c r="K116" s="80"/>
    </row>
    <row r="117" spans="1:11" ht="14.25" customHeight="1" x14ac:dyDescent="0.3">
      <c r="A117" s="57" t="str">
        <f>IF(B117&lt;&gt;"", COUNTA($B$23:B117), "")</f>
        <v/>
      </c>
      <c r="B117" s="77"/>
      <c r="C117" s="78"/>
      <c r="D117" s="61"/>
      <c r="E117" s="61"/>
      <c r="F117" s="79"/>
      <c r="G117" s="79"/>
      <c r="H117" s="79"/>
      <c r="I117" s="79"/>
      <c r="J117" s="79"/>
      <c r="K117" s="80"/>
    </row>
    <row r="118" spans="1:11" ht="14.25" customHeight="1" x14ac:dyDescent="0.3">
      <c r="A118" s="57" t="str">
        <f>IF(B118&lt;&gt;"", COUNTA($B$23:B118), "")</f>
        <v/>
      </c>
      <c r="B118" s="77"/>
      <c r="C118" s="78"/>
      <c r="D118" s="61"/>
      <c r="E118" s="61"/>
      <c r="F118" s="79"/>
      <c r="G118" s="79"/>
      <c r="H118" s="79"/>
      <c r="I118" s="79"/>
      <c r="J118" s="79"/>
      <c r="K118" s="80"/>
    </row>
    <row r="119" spans="1:11" ht="14.25" customHeight="1" x14ac:dyDescent="0.3">
      <c r="A119" s="57" t="str">
        <f>IF(B119&lt;&gt;"", COUNTA($B$23:B119), "")</f>
        <v/>
      </c>
      <c r="B119" s="77"/>
      <c r="C119" s="78"/>
      <c r="D119" s="61"/>
      <c r="E119" s="61"/>
      <c r="F119" s="79"/>
      <c r="G119" s="79"/>
      <c r="H119" s="79"/>
      <c r="I119" s="79"/>
      <c r="J119" s="79"/>
      <c r="K119" s="80"/>
    </row>
    <row r="120" spans="1:11" ht="14.25" customHeight="1" x14ac:dyDescent="0.3">
      <c r="A120" s="57" t="str">
        <f>IF(B120&lt;&gt;"", COUNTA($B$23:B120), "")</f>
        <v/>
      </c>
      <c r="B120" s="77"/>
      <c r="C120" s="78"/>
      <c r="D120" s="61"/>
      <c r="E120" s="61"/>
      <c r="F120" s="79"/>
      <c r="G120" s="79"/>
      <c r="H120" s="79"/>
      <c r="I120" s="79"/>
      <c r="J120" s="79"/>
      <c r="K120" s="80"/>
    </row>
    <row r="121" spans="1:11" ht="14.25" customHeight="1" x14ac:dyDescent="0.3">
      <c r="A121" s="57" t="str">
        <f>IF(B121&lt;&gt;"", COUNTA($B$23:B121), "")</f>
        <v/>
      </c>
      <c r="B121" s="77"/>
      <c r="C121" s="78"/>
      <c r="D121" s="61"/>
      <c r="E121" s="61"/>
      <c r="F121" s="79"/>
      <c r="G121" s="79"/>
      <c r="H121" s="79"/>
      <c r="I121" s="79"/>
      <c r="J121" s="79"/>
      <c r="K121" s="80"/>
    </row>
    <row r="122" spans="1:11" ht="14.25" customHeight="1" x14ac:dyDescent="0.3">
      <c r="A122" s="57" t="str">
        <f>IF(B122&lt;&gt;"", COUNTA($B$23:B122), "")</f>
        <v/>
      </c>
      <c r="B122" s="77"/>
      <c r="C122" s="78"/>
      <c r="D122" s="61"/>
      <c r="E122" s="61"/>
      <c r="F122" s="79"/>
      <c r="G122" s="79"/>
      <c r="H122" s="79"/>
      <c r="I122" s="79"/>
      <c r="J122" s="79"/>
      <c r="K122" s="80"/>
    </row>
    <row r="123" spans="1:11" ht="14.25" customHeight="1" x14ac:dyDescent="0.3">
      <c r="A123" s="57" t="str">
        <f>IF(B123&lt;&gt;"", COUNTA($B$23:B123), "")</f>
        <v/>
      </c>
      <c r="B123" s="77"/>
      <c r="C123" s="78"/>
      <c r="D123" s="61"/>
      <c r="E123" s="61"/>
      <c r="F123" s="79"/>
      <c r="G123" s="79"/>
      <c r="H123" s="79"/>
      <c r="I123" s="79"/>
      <c r="J123" s="79"/>
      <c r="K123" s="80"/>
    </row>
    <row r="124" spans="1:11" ht="14.25" customHeight="1" x14ac:dyDescent="0.3">
      <c r="A124" s="57" t="str">
        <f>IF(B124&lt;&gt;"", COUNTA($B$23:B124), "")</f>
        <v/>
      </c>
      <c r="B124" s="77"/>
      <c r="C124" s="78"/>
      <c r="D124" s="61"/>
      <c r="E124" s="61"/>
      <c r="F124" s="79"/>
      <c r="G124" s="79"/>
      <c r="H124" s="79"/>
      <c r="I124" s="79"/>
      <c r="J124" s="79"/>
      <c r="K124" s="80"/>
    </row>
    <row r="125" spans="1:11" ht="14.25" customHeight="1" x14ac:dyDescent="0.3">
      <c r="A125" s="57" t="str">
        <f>IF(B125&lt;&gt;"", COUNTA($B$23:B125), "")</f>
        <v/>
      </c>
      <c r="B125" s="77"/>
      <c r="C125" s="78"/>
      <c r="D125" s="61"/>
      <c r="E125" s="61"/>
      <c r="F125" s="79"/>
      <c r="G125" s="79"/>
      <c r="H125" s="79"/>
      <c r="I125" s="80"/>
      <c r="J125" s="80"/>
      <c r="K125" s="80"/>
    </row>
    <row r="126" spans="1:11" ht="14.25" customHeight="1" x14ac:dyDescent="0.3">
      <c r="A126" s="57" t="str">
        <f>IF(B126&lt;&gt;"", COUNTA($B$23:B126), "")</f>
        <v/>
      </c>
      <c r="B126" s="77"/>
      <c r="C126" s="78"/>
      <c r="D126" s="61"/>
      <c r="E126" s="61"/>
      <c r="F126" s="79"/>
      <c r="G126" s="79"/>
      <c r="H126" s="79"/>
      <c r="I126" s="79"/>
      <c r="J126" s="79"/>
      <c r="K126" s="80"/>
    </row>
    <row r="127" spans="1:11" ht="14.25" customHeight="1" x14ac:dyDescent="0.3">
      <c r="A127" s="57" t="str">
        <f>IF(B127&lt;&gt;"", COUNTA($B$23:B127), "")</f>
        <v/>
      </c>
      <c r="B127" s="77"/>
      <c r="C127" s="78"/>
      <c r="D127" s="61"/>
      <c r="E127" s="61"/>
      <c r="F127" s="79"/>
      <c r="G127" s="79"/>
      <c r="H127" s="79"/>
      <c r="I127" s="79"/>
      <c r="J127" s="79"/>
      <c r="K127" s="80"/>
    </row>
    <row r="128" spans="1:11" ht="14.25" customHeight="1" x14ac:dyDescent="0.3">
      <c r="A128" s="57" t="str">
        <f>IF(B128&lt;&gt;"", COUNTA($B$23:B128), "")</f>
        <v/>
      </c>
      <c r="B128" s="77"/>
      <c r="C128" s="78"/>
      <c r="D128" s="61"/>
      <c r="E128" s="61"/>
      <c r="F128" s="79"/>
      <c r="G128" s="79"/>
      <c r="H128" s="79"/>
      <c r="I128" s="79"/>
      <c r="J128" s="79"/>
      <c r="K128" s="80"/>
    </row>
    <row r="129" spans="1:11" ht="14.25" customHeight="1" x14ac:dyDescent="0.3">
      <c r="A129" s="57" t="str">
        <f>IF(B129&lt;&gt;"", COUNTA($B$23:B129), "")</f>
        <v/>
      </c>
      <c r="B129" s="77"/>
      <c r="C129" s="78"/>
      <c r="D129" s="61"/>
      <c r="E129" s="61"/>
      <c r="F129" s="79"/>
      <c r="G129" s="79"/>
      <c r="H129" s="79"/>
      <c r="I129" s="79"/>
      <c r="J129" s="79"/>
      <c r="K129" s="80"/>
    </row>
    <row r="130" spans="1:11" ht="14.25" customHeight="1" x14ac:dyDescent="0.3">
      <c r="A130" s="57" t="str">
        <f>IF(B130&lt;&gt;"", COUNTA($B$23:B130), "")</f>
        <v/>
      </c>
      <c r="B130" s="77"/>
      <c r="C130" s="78"/>
      <c r="D130" s="61"/>
      <c r="E130" s="61"/>
      <c r="F130" s="79"/>
      <c r="G130" s="79"/>
      <c r="H130" s="79"/>
      <c r="I130" s="79"/>
      <c r="J130" s="79"/>
      <c r="K130" s="80"/>
    </row>
    <row r="131" spans="1:11" ht="14.25" customHeight="1" x14ac:dyDescent="0.3">
      <c r="A131" s="57" t="str">
        <f>IF(B131&lt;&gt;"", COUNTA($B$23:B131), "")</f>
        <v/>
      </c>
      <c r="B131" s="77"/>
      <c r="C131" s="78"/>
      <c r="D131" s="61"/>
      <c r="E131" s="61"/>
      <c r="F131" s="79"/>
      <c r="G131" s="79"/>
      <c r="H131" s="79"/>
      <c r="I131" s="79"/>
      <c r="J131" s="79"/>
      <c r="K131" s="80"/>
    </row>
    <row r="132" spans="1:11" ht="14.25" customHeight="1" x14ac:dyDescent="0.3">
      <c r="A132" s="57" t="str">
        <f>IF(B132&lt;&gt;"", COUNTA($B$23:B132), "")</f>
        <v/>
      </c>
      <c r="B132" s="77"/>
      <c r="C132" s="78"/>
      <c r="D132" s="61"/>
      <c r="E132" s="61"/>
      <c r="F132" s="79"/>
      <c r="G132" s="79"/>
      <c r="H132" s="79"/>
      <c r="I132" s="79"/>
      <c r="J132" s="79"/>
      <c r="K132" s="80"/>
    </row>
    <row r="133" spans="1:11" ht="14.25" customHeight="1" x14ac:dyDescent="0.3">
      <c r="A133" s="57" t="str">
        <f>IF(B133&lt;&gt;"", COUNTA($B$23:B133), "")</f>
        <v/>
      </c>
      <c r="B133" s="77"/>
      <c r="C133" s="78"/>
      <c r="D133" s="61"/>
      <c r="E133" s="61"/>
      <c r="F133" s="79"/>
      <c r="G133" s="79"/>
      <c r="H133" s="79"/>
      <c r="I133" s="79"/>
      <c r="J133" s="79"/>
      <c r="K133" s="80"/>
    </row>
    <row r="134" spans="1:11" ht="14.25" customHeight="1" x14ac:dyDescent="0.3">
      <c r="A134" s="57" t="str">
        <f>IF(B134&lt;&gt;"", COUNTA($B$23:B134), "")</f>
        <v/>
      </c>
      <c r="B134" s="77"/>
      <c r="C134" s="78"/>
      <c r="D134" s="61"/>
      <c r="E134" s="61"/>
      <c r="F134" s="79"/>
      <c r="G134" s="79"/>
      <c r="H134" s="79"/>
      <c r="I134" s="79"/>
      <c r="J134" s="79"/>
      <c r="K134" s="80"/>
    </row>
    <row r="135" spans="1:11" ht="14.25" customHeight="1" x14ac:dyDescent="0.3">
      <c r="A135" s="57" t="str">
        <f>IF(B135&lt;&gt;"", COUNTA($B$23:B135), "")</f>
        <v/>
      </c>
      <c r="B135" s="77"/>
      <c r="C135" s="78"/>
      <c r="D135" s="61"/>
      <c r="E135" s="61"/>
      <c r="F135" s="79"/>
      <c r="G135" s="79"/>
      <c r="H135" s="79"/>
      <c r="I135" s="79"/>
      <c r="J135" s="79"/>
      <c r="K135" s="80"/>
    </row>
    <row r="136" spans="1:11" ht="14.25" customHeight="1" x14ac:dyDescent="0.3">
      <c r="A136" s="57" t="str">
        <f>IF(B136&lt;&gt;"", COUNTA($B$23:B136), "")</f>
        <v/>
      </c>
      <c r="B136" s="77"/>
      <c r="C136" s="78"/>
      <c r="D136" s="61"/>
      <c r="E136" s="61"/>
      <c r="F136" s="79"/>
      <c r="G136" s="79"/>
      <c r="H136" s="79"/>
      <c r="I136" s="79"/>
      <c r="J136" s="79"/>
      <c r="K136" s="80"/>
    </row>
    <row r="137" spans="1:11" ht="14.25" customHeight="1" x14ac:dyDescent="0.3">
      <c r="A137" s="57" t="str">
        <f>IF(B137&lt;&gt;"", COUNTA($B$23:B137), "")</f>
        <v/>
      </c>
      <c r="B137" s="77"/>
      <c r="C137" s="78"/>
      <c r="D137" s="61"/>
      <c r="E137" s="61"/>
      <c r="F137" s="79"/>
      <c r="G137" s="79"/>
      <c r="H137" s="79"/>
      <c r="I137" s="79"/>
      <c r="J137" s="79"/>
      <c r="K137" s="80"/>
    </row>
    <row r="138" spans="1:11" ht="14.25" customHeight="1" x14ac:dyDescent="0.3">
      <c r="A138" s="57" t="str">
        <f>IF(B138&lt;&gt;"", COUNTA($B$23:B138), "")</f>
        <v/>
      </c>
      <c r="B138" s="77"/>
      <c r="C138" s="78"/>
      <c r="D138" s="61"/>
      <c r="E138" s="61"/>
      <c r="F138" s="79"/>
      <c r="G138" s="79"/>
      <c r="H138" s="79"/>
      <c r="I138" s="79"/>
      <c r="J138" s="79"/>
      <c r="K138" s="80"/>
    </row>
    <row r="139" spans="1:11" ht="14.25" customHeight="1" x14ac:dyDescent="0.3">
      <c r="A139" s="57" t="str">
        <f>IF(B139&lt;&gt;"", COUNTA($B$23:B139), "")</f>
        <v/>
      </c>
      <c r="B139" s="77"/>
      <c r="C139" s="78"/>
      <c r="D139" s="61"/>
      <c r="E139" s="61"/>
      <c r="F139" s="79"/>
      <c r="G139" s="79"/>
      <c r="H139" s="79"/>
      <c r="I139" s="79"/>
      <c r="J139" s="79"/>
      <c r="K139" s="80"/>
    </row>
    <row r="140" spans="1:11" ht="14.25" customHeight="1" x14ac:dyDescent="0.3">
      <c r="A140" s="57" t="str">
        <f>IF(B140&lt;&gt;"", COUNTA($B$23:B140), "")</f>
        <v/>
      </c>
      <c r="B140" s="77"/>
      <c r="C140" s="78"/>
      <c r="D140" s="61"/>
      <c r="E140" s="61"/>
      <c r="F140" s="79"/>
      <c r="G140" s="79"/>
      <c r="H140" s="79"/>
      <c r="I140" s="79"/>
      <c r="J140" s="79"/>
      <c r="K140" s="80"/>
    </row>
    <row r="141" spans="1:11" ht="14.25" customHeight="1" x14ac:dyDescent="0.3">
      <c r="A141" s="57" t="str">
        <f>IF(B141&lt;&gt;"", COUNTA($B$23:B141), "")</f>
        <v/>
      </c>
      <c r="B141" s="77"/>
      <c r="C141" s="78"/>
      <c r="D141" s="61"/>
      <c r="E141" s="61"/>
      <c r="F141" s="79"/>
      <c r="G141" s="79"/>
      <c r="H141" s="79"/>
      <c r="I141" s="79"/>
      <c r="J141" s="79"/>
      <c r="K141" s="80"/>
    </row>
    <row r="142" spans="1:11" ht="14.25" customHeight="1" x14ac:dyDescent="0.3">
      <c r="A142" s="57" t="str">
        <f>IF(B142&lt;&gt;"", COUNTA($B$23:B142), "")</f>
        <v/>
      </c>
      <c r="B142" s="77"/>
      <c r="C142" s="78"/>
      <c r="D142" s="61"/>
      <c r="E142" s="61"/>
      <c r="F142" s="79"/>
      <c r="G142" s="79"/>
      <c r="H142" s="79"/>
      <c r="I142" s="80"/>
      <c r="J142" s="80"/>
      <c r="K142" s="80"/>
    </row>
    <row r="143" spans="1:11" ht="14.25" customHeight="1" x14ac:dyDescent="0.3">
      <c r="A143" s="57" t="str">
        <f>IF(B143&lt;&gt;"", COUNTA($B$23:B143), "")</f>
        <v/>
      </c>
      <c r="B143" s="77"/>
      <c r="C143" s="78"/>
      <c r="D143" s="61"/>
      <c r="E143" s="61"/>
      <c r="F143" s="79"/>
      <c r="G143" s="79"/>
      <c r="H143" s="79"/>
      <c r="I143" s="79"/>
      <c r="J143" s="79"/>
      <c r="K143" s="80"/>
    </row>
    <row r="144" spans="1:11" ht="14.25" customHeight="1" x14ac:dyDescent="0.3">
      <c r="A144" s="57" t="str">
        <f>IF(B144&lt;&gt;"", COUNTA($B$23:B144), "")</f>
        <v/>
      </c>
      <c r="B144" s="77"/>
      <c r="C144" s="78"/>
      <c r="D144" s="61"/>
      <c r="E144" s="61"/>
      <c r="F144" s="79"/>
      <c r="G144" s="79"/>
      <c r="H144" s="79"/>
      <c r="I144" s="79"/>
      <c r="J144" s="79"/>
      <c r="K144" s="80"/>
    </row>
    <row r="145" spans="1:11" ht="14.25" customHeight="1" x14ac:dyDescent="0.3">
      <c r="A145" s="57" t="str">
        <f>IF(B145&lt;&gt;"", COUNTA($B$23:B145), "")</f>
        <v/>
      </c>
      <c r="B145" s="77"/>
      <c r="C145" s="78"/>
      <c r="D145" s="61"/>
      <c r="E145" s="61"/>
      <c r="F145" s="79"/>
      <c r="G145" s="79"/>
      <c r="H145" s="79"/>
      <c r="I145" s="79"/>
      <c r="J145" s="79"/>
      <c r="K145" s="80"/>
    </row>
    <row r="146" spans="1:11" ht="14.25" customHeight="1" x14ac:dyDescent="0.3">
      <c r="A146" s="57" t="str">
        <f>IF(B146&lt;&gt;"", COUNTA($B$23:B146), "")</f>
        <v/>
      </c>
      <c r="B146" s="77"/>
      <c r="C146" s="78"/>
      <c r="D146" s="61"/>
      <c r="E146" s="61"/>
      <c r="F146" s="79"/>
      <c r="G146" s="79"/>
      <c r="H146" s="79"/>
      <c r="I146" s="79"/>
      <c r="J146" s="79"/>
      <c r="K146" s="80"/>
    </row>
    <row r="147" spans="1:11" ht="14.25" customHeight="1" x14ac:dyDescent="0.3">
      <c r="A147" s="57" t="str">
        <f>IF(B147&lt;&gt;"", COUNTA($B$23:B147), "")</f>
        <v/>
      </c>
      <c r="B147" s="77"/>
      <c r="C147" s="78"/>
      <c r="D147" s="61"/>
      <c r="E147" s="61"/>
      <c r="F147" s="79"/>
      <c r="G147" s="79"/>
      <c r="H147" s="79"/>
      <c r="I147" s="79"/>
      <c r="J147" s="79"/>
      <c r="K147" s="80"/>
    </row>
    <row r="148" spans="1:11" ht="14.25" customHeight="1" x14ac:dyDescent="0.3">
      <c r="A148" s="57" t="str">
        <f>IF(B148&lt;&gt;"", COUNTA($B$23:B148), "")</f>
        <v/>
      </c>
      <c r="B148" s="77"/>
      <c r="C148" s="78"/>
      <c r="D148" s="61"/>
      <c r="E148" s="61"/>
      <c r="F148" s="79"/>
      <c r="G148" s="79"/>
      <c r="H148" s="79"/>
      <c r="I148" s="79"/>
      <c r="J148" s="79"/>
      <c r="K148" s="80"/>
    </row>
    <row r="149" spans="1:11" ht="14.25" customHeight="1" x14ac:dyDescent="0.3">
      <c r="A149" s="57" t="str">
        <f>IF(B149&lt;&gt;"", COUNTA($B$23:B149), "")</f>
        <v/>
      </c>
      <c r="B149" s="77"/>
      <c r="C149" s="78"/>
      <c r="D149" s="61"/>
      <c r="E149" s="61"/>
      <c r="F149" s="79"/>
      <c r="G149" s="79"/>
      <c r="H149" s="79"/>
      <c r="I149" s="79"/>
      <c r="J149" s="79"/>
      <c r="K149" s="80"/>
    </row>
    <row r="150" spans="1:11" ht="14.25" customHeight="1" x14ac:dyDescent="0.3">
      <c r="A150" s="57" t="str">
        <f>IF(B150&lt;&gt;"", COUNTA($B$23:B150), "")</f>
        <v/>
      </c>
      <c r="B150" s="77"/>
      <c r="C150" s="78"/>
      <c r="D150" s="61"/>
      <c r="E150" s="61"/>
      <c r="F150" s="79"/>
      <c r="G150" s="79"/>
      <c r="H150" s="79"/>
      <c r="I150" s="79"/>
      <c r="J150" s="79"/>
      <c r="K150" s="80"/>
    </row>
    <row r="151" spans="1:11" ht="14.25" customHeight="1" x14ac:dyDescent="0.3">
      <c r="A151" s="57" t="str">
        <f>IF(B151&lt;&gt;"", COUNTA($B$23:B151), "")</f>
        <v/>
      </c>
      <c r="B151" s="77"/>
      <c r="C151" s="78"/>
      <c r="D151" s="61"/>
      <c r="E151" s="61"/>
      <c r="F151" s="79"/>
      <c r="G151" s="79"/>
      <c r="H151" s="79"/>
      <c r="I151" s="79"/>
      <c r="J151" s="79"/>
      <c r="K151" s="80"/>
    </row>
    <row r="152" spans="1:11" ht="14.25" customHeight="1" x14ac:dyDescent="0.3">
      <c r="A152" s="57" t="str">
        <f>IF(B152&lt;&gt;"", COUNTA($B$23:B152), "")</f>
        <v/>
      </c>
      <c r="B152" s="77"/>
      <c r="C152" s="78"/>
      <c r="D152" s="61"/>
      <c r="E152" s="61"/>
      <c r="F152" s="79"/>
      <c r="G152" s="79"/>
      <c r="H152" s="79"/>
      <c r="I152" s="79"/>
      <c r="J152" s="79"/>
      <c r="K152" s="80"/>
    </row>
    <row r="153" spans="1:11" ht="14.25" customHeight="1" x14ac:dyDescent="0.3">
      <c r="A153" s="57" t="str">
        <f>IF(B153&lt;&gt;"", COUNTA($B$23:B153), "")</f>
        <v/>
      </c>
      <c r="B153" s="77"/>
      <c r="C153" s="78"/>
      <c r="D153" s="61"/>
      <c r="E153" s="61"/>
      <c r="F153" s="79"/>
      <c r="G153" s="79"/>
      <c r="H153" s="79"/>
      <c r="I153" s="79"/>
      <c r="J153" s="79"/>
      <c r="K153" s="80"/>
    </row>
    <row r="154" spans="1:11" ht="14.25" customHeight="1" x14ac:dyDescent="0.3">
      <c r="A154" s="57" t="str">
        <f>IF(B154&lt;&gt;"", COUNTA($B$23:B154), "")</f>
        <v/>
      </c>
      <c r="B154" s="77"/>
      <c r="C154" s="78"/>
      <c r="D154" s="61"/>
      <c r="E154" s="61"/>
      <c r="F154" s="79"/>
      <c r="G154" s="79"/>
      <c r="H154" s="79"/>
      <c r="I154" s="79"/>
      <c r="J154" s="79"/>
      <c r="K154" s="80"/>
    </row>
    <row r="155" spans="1:11" ht="14.25" customHeight="1" x14ac:dyDescent="0.3">
      <c r="A155" s="57" t="str">
        <f>IF(B155&lt;&gt;"", COUNTA($B$23:B155), "")</f>
        <v/>
      </c>
      <c r="B155" s="77"/>
      <c r="C155" s="78"/>
      <c r="D155" s="61"/>
      <c r="E155" s="61"/>
      <c r="F155" s="79"/>
      <c r="G155" s="79"/>
      <c r="H155" s="79"/>
      <c r="I155" s="79"/>
      <c r="J155" s="79"/>
      <c r="K155" s="80"/>
    </row>
    <row r="156" spans="1:11" ht="14.25" customHeight="1" x14ac:dyDescent="0.3">
      <c r="A156" s="57" t="str">
        <f>IF(B156&lt;&gt;"", COUNTA($B$23:B156), "")</f>
        <v/>
      </c>
      <c r="B156" s="77"/>
      <c r="C156" s="78"/>
      <c r="D156" s="61"/>
      <c r="E156" s="61"/>
      <c r="F156" s="79"/>
      <c r="G156" s="79"/>
      <c r="H156" s="79"/>
      <c r="I156" s="79"/>
      <c r="J156" s="79"/>
      <c r="K156" s="80"/>
    </row>
    <row r="157" spans="1:11" ht="14.25" customHeight="1" x14ac:dyDescent="0.3">
      <c r="A157" s="57" t="str">
        <f>IF(B157&lt;&gt;"", COUNTA($B$23:B157), "")</f>
        <v/>
      </c>
      <c r="B157" s="77"/>
      <c r="C157" s="78"/>
      <c r="D157" s="61"/>
      <c r="E157" s="61"/>
      <c r="F157" s="79"/>
      <c r="G157" s="79"/>
      <c r="H157" s="79"/>
      <c r="I157" s="79"/>
      <c r="J157" s="79"/>
      <c r="K157" s="80"/>
    </row>
    <row r="158" spans="1:11" ht="14.25" customHeight="1" x14ac:dyDescent="0.3">
      <c r="A158" s="57" t="str">
        <f>IF(B158&lt;&gt;"", COUNTA($B$23:B158), "")</f>
        <v/>
      </c>
      <c r="B158" s="77"/>
      <c r="C158" s="78"/>
      <c r="D158" s="61"/>
      <c r="E158" s="61"/>
      <c r="F158" s="79"/>
      <c r="G158" s="79"/>
      <c r="H158" s="79"/>
      <c r="I158" s="79"/>
      <c r="J158" s="79"/>
      <c r="K158" s="80"/>
    </row>
    <row r="159" spans="1:11" ht="14.25" customHeight="1" x14ac:dyDescent="0.3">
      <c r="A159" s="57" t="str">
        <f>IF(B159&lt;&gt;"", COUNTA($B$23:B159), "")</f>
        <v/>
      </c>
      <c r="B159" s="77"/>
      <c r="C159" s="78"/>
      <c r="D159" s="61"/>
      <c r="E159" s="61"/>
      <c r="F159" s="79"/>
      <c r="G159" s="79"/>
      <c r="H159" s="79"/>
      <c r="I159" s="80"/>
      <c r="J159" s="80"/>
      <c r="K159" s="80"/>
    </row>
    <row r="160" spans="1:11" ht="14.25" customHeight="1" x14ac:dyDescent="0.3">
      <c r="A160" s="57" t="str">
        <f>IF(B160&lt;&gt;"", COUNTA($B$23:B160), "")</f>
        <v/>
      </c>
      <c r="B160" s="77"/>
      <c r="C160" s="78"/>
      <c r="D160" s="61"/>
      <c r="E160" s="61"/>
      <c r="F160" s="79"/>
      <c r="G160" s="79"/>
      <c r="H160" s="79"/>
      <c r="I160" s="79"/>
      <c r="J160" s="79"/>
      <c r="K160" s="80"/>
    </row>
    <row r="161" spans="1:11" ht="14.25" customHeight="1" x14ac:dyDescent="0.3">
      <c r="A161" s="57" t="str">
        <f>IF(B161&lt;&gt;"", COUNTA($B$23:B161), "")</f>
        <v/>
      </c>
      <c r="B161" s="77"/>
      <c r="C161" s="78"/>
      <c r="D161" s="61"/>
      <c r="E161" s="61"/>
      <c r="F161" s="79"/>
      <c r="G161" s="79"/>
      <c r="H161" s="79"/>
      <c r="I161" s="79"/>
      <c r="J161" s="79"/>
      <c r="K161" s="80"/>
    </row>
    <row r="162" spans="1:11" ht="14.25" customHeight="1" x14ac:dyDescent="0.3">
      <c r="A162" s="57" t="str">
        <f>IF(B162&lt;&gt;"", COUNTA($B$23:B162), "")</f>
        <v/>
      </c>
      <c r="B162" s="77"/>
      <c r="C162" s="78"/>
      <c r="D162" s="61"/>
      <c r="E162" s="61"/>
      <c r="F162" s="79"/>
      <c r="G162" s="79"/>
      <c r="H162" s="79"/>
      <c r="I162" s="79"/>
      <c r="J162" s="79"/>
      <c r="K162" s="80"/>
    </row>
    <row r="163" spans="1:11" ht="14.25" customHeight="1" x14ac:dyDescent="0.3">
      <c r="A163" s="57" t="str">
        <f>IF(B163&lt;&gt;"", COUNTA($B$23:B163), "")</f>
        <v/>
      </c>
      <c r="B163" s="77"/>
      <c r="C163" s="78"/>
      <c r="D163" s="61"/>
      <c r="E163" s="61"/>
      <c r="F163" s="79"/>
      <c r="G163" s="79"/>
      <c r="H163" s="79"/>
      <c r="I163" s="79"/>
      <c r="J163" s="79"/>
      <c r="K163" s="80"/>
    </row>
    <row r="164" spans="1:11" ht="14.25" customHeight="1" x14ac:dyDescent="0.3">
      <c r="A164" s="57" t="str">
        <f>IF(B164&lt;&gt;"", COUNTA($B$23:B164), "")</f>
        <v/>
      </c>
      <c r="B164" s="77"/>
      <c r="C164" s="78"/>
      <c r="D164" s="61"/>
      <c r="E164" s="61"/>
      <c r="F164" s="79"/>
      <c r="G164" s="79"/>
      <c r="H164" s="79"/>
      <c r="I164" s="79"/>
      <c r="J164" s="79"/>
      <c r="K164" s="80"/>
    </row>
    <row r="165" spans="1:11" ht="14.25" customHeight="1" x14ac:dyDescent="0.3">
      <c r="A165" s="57" t="str">
        <f>IF(B165&lt;&gt;"", COUNTA($B$23:B165), "")</f>
        <v/>
      </c>
      <c r="B165" s="77"/>
      <c r="C165" s="78"/>
      <c r="D165" s="61"/>
      <c r="E165" s="61"/>
      <c r="F165" s="79"/>
      <c r="G165" s="79"/>
      <c r="H165" s="79"/>
      <c r="I165" s="79"/>
      <c r="J165" s="79"/>
      <c r="K165" s="80"/>
    </row>
    <row r="166" spans="1:11" ht="14.25" customHeight="1" x14ac:dyDescent="0.3">
      <c r="A166" s="57" t="str">
        <f>IF(B166&lt;&gt;"", COUNTA($B$23:B166), "")</f>
        <v/>
      </c>
      <c r="B166" s="77"/>
      <c r="C166" s="78"/>
      <c r="D166" s="61"/>
      <c r="E166" s="61"/>
      <c r="F166" s="79"/>
      <c r="G166" s="79"/>
      <c r="H166" s="79"/>
      <c r="I166" s="79"/>
      <c r="J166" s="79"/>
      <c r="K166" s="80"/>
    </row>
    <row r="167" spans="1:11" ht="14.25" customHeight="1" x14ac:dyDescent="0.3">
      <c r="A167" s="57" t="str">
        <f>IF(B167&lt;&gt;"", COUNTA($B$23:B167), "")</f>
        <v/>
      </c>
      <c r="B167" s="77"/>
      <c r="C167" s="78"/>
      <c r="D167" s="61"/>
      <c r="E167" s="61"/>
      <c r="F167" s="79"/>
      <c r="G167" s="79"/>
      <c r="H167" s="79"/>
      <c r="I167" s="79"/>
      <c r="J167" s="79"/>
      <c r="K167" s="80"/>
    </row>
    <row r="168" spans="1:11" ht="14.25" customHeight="1" x14ac:dyDescent="0.3">
      <c r="A168" s="57" t="str">
        <f>IF(B168&lt;&gt;"", COUNTA($B$23:B168), "")</f>
        <v/>
      </c>
      <c r="B168" s="77"/>
      <c r="C168" s="78"/>
      <c r="D168" s="61"/>
      <c r="E168" s="61"/>
      <c r="F168" s="79"/>
      <c r="G168" s="79"/>
      <c r="H168" s="79"/>
      <c r="I168" s="79"/>
      <c r="J168" s="79"/>
      <c r="K168" s="80"/>
    </row>
    <row r="169" spans="1:11" ht="14.25" customHeight="1" x14ac:dyDescent="0.3">
      <c r="A169" s="57" t="str">
        <f>IF(B169&lt;&gt;"", COUNTA($B$23:B169), "")</f>
        <v/>
      </c>
      <c r="B169" s="77"/>
      <c r="C169" s="78"/>
      <c r="D169" s="61"/>
      <c r="E169" s="61"/>
      <c r="F169" s="79"/>
      <c r="G169" s="79"/>
      <c r="H169" s="79"/>
      <c r="I169" s="79"/>
      <c r="J169" s="79"/>
      <c r="K169" s="80"/>
    </row>
    <row r="170" spans="1:11" ht="14.25" customHeight="1" x14ac:dyDescent="0.3">
      <c r="A170" s="57" t="str">
        <f>IF(B170&lt;&gt;"", COUNTA($B$23:B170), "")</f>
        <v/>
      </c>
      <c r="B170" s="77"/>
      <c r="C170" s="78"/>
      <c r="D170" s="61"/>
      <c r="E170" s="61"/>
      <c r="F170" s="79"/>
      <c r="G170" s="79"/>
      <c r="H170" s="79"/>
      <c r="I170" s="79"/>
      <c r="J170" s="79"/>
      <c r="K170" s="80"/>
    </row>
    <row r="171" spans="1:11" ht="14.25" customHeight="1" x14ac:dyDescent="0.3">
      <c r="A171" s="57" t="str">
        <f>IF(B171&lt;&gt;"", COUNTA($B$23:B171), "")</f>
        <v/>
      </c>
      <c r="B171" s="77"/>
      <c r="C171" s="78"/>
      <c r="D171" s="61"/>
      <c r="E171" s="61"/>
      <c r="F171" s="79"/>
      <c r="G171" s="79"/>
      <c r="H171" s="79"/>
      <c r="I171" s="79"/>
      <c r="J171" s="79"/>
      <c r="K171" s="80"/>
    </row>
    <row r="172" spans="1:11" ht="14.25" customHeight="1" x14ac:dyDescent="0.3">
      <c r="A172" s="57" t="str">
        <f>IF(B172&lt;&gt;"", COUNTA($B$23:B172), "")</f>
        <v/>
      </c>
      <c r="B172" s="77"/>
      <c r="C172" s="78"/>
      <c r="D172" s="61"/>
      <c r="E172" s="61"/>
      <c r="F172" s="79"/>
      <c r="G172" s="79"/>
      <c r="H172" s="79"/>
      <c r="I172" s="79"/>
      <c r="J172" s="79"/>
      <c r="K172" s="80"/>
    </row>
    <row r="173" spans="1:11" ht="14.25" customHeight="1" x14ac:dyDescent="0.3">
      <c r="A173" s="57" t="str">
        <f>IF(B173&lt;&gt;"", COUNTA($B$23:B173), "")</f>
        <v/>
      </c>
      <c r="B173" s="77"/>
      <c r="C173" s="78"/>
      <c r="D173" s="61"/>
      <c r="E173" s="61"/>
      <c r="F173" s="79"/>
      <c r="G173" s="79"/>
      <c r="H173" s="79"/>
      <c r="I173" s="79"/>
      <c r="J173" s="79"/>
      <c r="K173" s="80"/>
    </row>
    <row r="174" spans="1:11" ht="14.25" customHeight="1" x14ac:dyDescent="0.3">
      <c r="A174" s="57" t="str">
        <f>IF(B174&lt;&gt;"", COUNTA($B$23:B174), "")</f>
        <v/>
      </c>
      <c r="B174" s="77"/>
      <c r="C174" s="78"/>
      <c r="D174" s="61"/>
      <c r="E174" s="61"/>
      <c r="F174" s="79"/>
      <c r="G174" s="79"/>
      <c r="H174" s="79"/>
      <c r="I174" s="79"/>
      <c r="J174" s="79"/>
      <c r="K174" s="80"/>
    </row>
    <row r="175" spans="1:11" ht="14.25" customHeight="1" x14ac:dyDescent="0.3">
      <c r="A175" s="57" t="str">
        <f>IF(B175&lt;&gt;"", COUNTA($B$23:B175), "")</f>
        <v/>
      </c>
      <c r="B175" s="77"/>
      <c r="C175" s="78"/>
      <c r="D175" s="61"/>
      <c r="E175" s="61"/>
      <c r="F175" s="79"/>
      <c r="G175" s="79"/>
      <c r="H175" s="79"/>
      <c r="I175" s="79"/>
      <c r="J175" s="79"/>
      <c r="K175" s="80"/>
    </row>
    <row r="176" spans="1:11" ht="14.25" customHeight="1" x14ac:dyDescent="0.3">
      <c r="A176" s="57" t="str">
        <f>IF(B176&lt;&gt;"", COUNTA($B$23:B176), "")</f>
        <v/>
      </c>
      <c r="B176" s="77"/>
      <c r="C176" s="78"/>
      <c r="D176" s="61"/>
      <c r="E176" s="61"/>
      <c r="F176" s="79"/>
      <c r="G176" s="79"/>
      <c r="H176" s="79"/>
      <c r="I176" s="80"/>
      <c r="J176" s="80"/>
      <c r="K176" s="80"/>
    </row>
    <row r="177" spans="1:11" ht="14.25" customHeight="1" x14ac:dyDescent="0.3">
      <c r="A177" s="57" t="str">
        <f>IF(B177&lt;&gt;"", COUNTA($B$23:B177), "")</f>
        <v/>
      </c>
      <c r="B177" s="77"/>
      <c r="C177" s="78"/>
      <c r="D177" s="61"/>
      <c r="E177" s="61"/>
      <c r="F177" s="79"/>
      <c r="G177" s="79"/>
      <c r="H177" s="79"/>
      <c r="I177" s="79"/>
      <c r="J177" s="79"/>
      <c r="K177" s="80"/>
    </row>
    <row r="178" spans="1:11" ht="14.25" customHeight="1" x14ac:dyDescent="0.3">
      <c r="A178" s="57" t="str">
        <f>IF(B178&lt;&gt;"", COUNTA($B$23:B178), "")</f>
        <v/>
      </c>
      <c r="B178" s="77"/>
      <c r="C178" s="78"/>
      <c r="D178" s="61"/>
      <c r="E178" s="61"/>
      <c r="F178" s="79"/>
      <c r="G178" s="79"/>
      <c r="H178" s="79"/>
      <c r="I178" s="79"/>
      <c r="J178" s="79"/>
      <c r="K178" s="80"/>
    </row>
    <row r="179" spans="1:11" ht="14.25" customHeight="1" x14ac:dyDescent="0.3">
      <c r="A179" s="57" t="str">
        <f>IF(B179&lt;&gt;"", COUNTA($B$23:B179), "")</f>
        <v/>
      </c>
      <c r="B179" s="77"/>
      <c r="C179" s="78"/>
      <c r="D179" s="61"/>
      <c r="E179" s="61"/>
      <c r="F179" s="79"/>
      <c r="G179" s="79"/>
      <c r="H179" s="79"/>
      <c r="I179" s="79"/>
      <c r="J179" s="79"/>
      <c r="K179" s="80"/>
    </row>
    <row r="180" spans="1:11" ht="14.25" customHeight="1" x14ac:dyDescent="0.3">
      <c r="A180" s="57" t="str">
        <f>IF(B180&lt;&gt;"", COUNTA($B$23:B180), "")</f>
        <v/>
      </c>
      <c r="B180" s="77"/>
      <c r="C180" s="78"/>
      <c r="D180" s="61"/>
      <c r="E180" s="61"/>
      <c r="F180" s="79"/>
      <c r="G180" s="79"/>
      <c r="H180" s="79"/>
      <c r="I180" s="79"/>
      <c r="J180" s="79"/>
      <c r="K180" s="80"/>
    </row>
    <row r="181" spans="1:11" ht="14.25" customHeight="1" x14ac:dyDescent="0.3">
      <c r="A181" s="57" t="str">
        <f>IF(B181&lt;&gt;"", COUNTA($B$23:B181), "")</f>
        <v/>
      </c>
      <c r="B181" s="77"/>
      <c r="C181" s="78"/>
      <c r="D181" s="61"/>
      <c r="E181" s="61"/>
      <c r="F181" s="79"/>
      <c r="G181" s="79"/>
      <c r="H181" s="79"/>
      <c r="I181" s="79"/>
      <c r="J181" s="79"/>
      <c r="K181" s="80"/>
    </row>
    <row r="182" spans="1:11" ht="14.25" customHeight="1" x14ac:dyDescent="0.3">
      <c r="A182" s="57" t="str">
        <f>IF(B182&lt;&gt;"", COUNTA($B$23:B182), "")</f>
        <v/>
      </c>
      <c r="B182" s="77"/>
      <c r="C182" s="78"/>
      <c r="D182" s="61"/>
      <c r="E182" s="61"/>
      <c r="F182" s="79"/>
      <c r="G182" s="79"/>
      <c r="H182" s="79"/>
      <c r="I182" s="79"/>
      <c r="J182" s="79"/>
      <c r="K182" s="80"/>
    </row>
    <row r="183" spans="1:11" ht="14.25" customHeight="1" x14ac:dyDescent="0.3">
      <c r="A183" s="57" t="str">
        <f>IF(B183&lt;&gt;"", COUNTA($B$23:B183), "")</f>
        <v/>
      </c>
      <c r="B183" s="77"/>
      <c r="C183" s="78"/>
      <c r="D183" s="61"/>
      <c r="E183" s="61"/>
      <c r="F183" s="79"/>
      <c r="G183" s="79"/>
      <c r="H183" s="79"/>
      <c r="I183" s="79"/>
      <c r="J183" s="79"/>
      <c r="K183" s="80"/>
    </row>
    <row r="184" spans="1:11" ht="14.25" customHeight="1" x14ac:dyDescent="0.3">
      <c r="A184" s="57" t="str">
        <f>IF(B184&lt;&gt;"", COUNTA($B$23:B184), "")</f>
        <v/>
      </c>
      <c r="B184" s="77"/>
      <c r="C184" s="78"/>
      <c r="D184" s="61"/>
      <c r="E184" s="61"/>
      <c r="F184" s="79"/>
      <c r="G184" s="79"/>
      <c r="H184" s="79"/>
      <c r="I184" s="79"/>
      <c r="J184" s="79"/>
      <c r="K184" s="80"/>
    </row>
    <row r="185" spans="1:11" ht="14.25" customHeight="1" x14ac:dyDescent="0.3">
      <c r="A185" s="57" t="str">
        <f>IF(B185&lt;&gt;"", COUNTA($B$23:B185), "")</f>
        <v/>
      </c>
      <c r="B185" s="77"/>
      <c r="C185" s="78"/>
      <c r="D185" s="61"/>
      <c r="E185" s="61"/>
      <c r="F185" s="79"/>
      <c r="G185" s="79"/>
      <c r="H185" s="79"/>
      <c r="I185" s="79"/>
      <c r="J185" s="79"/>
      <c r="K185" s="80"/>
    </row>
    <row r="186" spans="1:11" ht="14.25" customHeight="1" x14ac:dyDescent="0.3">
      <c r="A186" s="57" t="str">
        <f>IF(B186&lt;&gt;"", COUNTA($B$23:B186), "")</f>
        <v/>
      </c>
      <c r="B186" s="77"/>
      <c r="C186" s="78"/>
      <c r="D186" s="61"/>
      <c r="E186" s="61"/>
      <c r="F186" s="79"/>
      <c r="G186" s="79"/>
      <c r="H186" s="79"/>
      <c r="I186" s="79"/>
      <c r="J186" s="79"/>
      <c r="K186" s="80"/>
    </row>
    <row r="187" spans="1:11" ht="14.25" customHeight="1" x14ac:dyDescent="0.3">
      <c r="A187" s="57" t="str">
        <f>IF(B187&lt;&gt;"", COUNTA($B$23:B187), "")</f>
        <v/>
      </c>
      <c r="B187" s="77"/>
      <c r="C187" s="78"/>
      <c r="D187" s="61"/>
      <c r="E187" s="61"/>
      <c r="F187" s="79"/>
      <c r="G187" s="79"/>
      <c r="H187" s="79"/>
      <c r="I187" s="79"/>
      <c r="J187" s="79"/>
      <c r="K187" s="80"/>
    </row>
    <row r="188" spans="1:11" ht="14.25" customHeight="1" x14ac:dyDescent="0.3">
      <c r="A188" s="57" t="str">
        <f>IF(B188&lt;&gt;"", COUNTA($B$23:B188), "")</f>
        <v/>
      </c>
      <c r="B188" s="77"/>
      <c r="C188" s="78"/>
      <c r="D188" s="61"/>
      <c r="E188" s="61"/>
      <c r="F188" s="79"/>
      <c r="G188" s="79"/>
      <c r="H188" s="79"/>
      <c r="I188" s="79"/>
      <c r="J188" s="79"/>
      <c r="K188" s="80"/>
    </row>
    <row r="189" spans="1:11" ht="14.25" customHeight="1" x14ac:dyDescent="0.3">
      <c r="A189" s="57" t="str">
        <f>IF(B189&lt;&gt;"", COUNTA($B$23:B189), "")</f>
        <v/>
      </c>
      <c r="B189" s="77"/>
      <c r="C189" s="78"/>
      <c r="D189" s="61"/>
      <c r="E189" s="61"/>
      <c r="F189" s="79"/>
      <c r="G189" s="79"/>
      <c r="H189" s="79"/>
      <c r="I189" s="79"/>
      <c r="J189" s="79"/>
      <c r="K189" s="80"/>
    </row>
    <row r="190" spans="1:11" ht="14.25" customHeight="1" x14ac:dyDescent="0.3">
      <c r="A190" s="57" t="str">
        <f>IF(B190&lt;&gt;"", COUNTA($B$23:B190), "")</f>
        <v/>
      </c>
      <c r="B190" s="77"/>
      <c r="C190" s="78"/>
      <c r="D190" s="61"/>
      <c r="E190" s="61"/>
      <c r="F190" s="79"/>
      <c r="G190" s="79"/>
      <c r="H190" s="79"/>
      <c r="I190" s="79"/>
      <c r="J190" s="79"/>
      <c r="K190" s="80"/>
    </row>
    <row r="191" spans="1:11" ht="14.25" customHeight="1" x14ac:dyDescent="0.3">
      <c r="A191" s="57" t="str">
        <f>IF(B191&lt;&gt;"", COUNTA($B$23:B191), "")</f>
        <v/>
      </c>
      <c r="B191" s="77"/>
      <c r="C191" s="78"/>
      <c r="D191" s="61"/>
      <c r="E191" s="61"/>
      <c r="F191" s="79"/>
      <c r="G191" s="79"/>
      <c r="H191" s="79"/>
      <c r="I191" s="79"/>
      <c r="J191" s="79"/>
      <c r="K191" s="80"/>
    </row>
    <row r="192" spans="1:11" ht="14.25" customHeight="1" x14ac:dyDescent="0.3">
      <c r="A192" s="57" t="str">
        <f>IF(B192&lt;&gt;"", COUNTA($B$23:B192), "")</f>
        <v/>
      </c>
      <c r="B192" s="77"/>
      <c r="C192" s="78"/>
      <c r="D192" s="61"/>
      <c r="E192" s="61"/>
      <c r="F192" s="79"/>
      <c r="G192" s="79"/>
      <c r="H192" s="79"/>
      <c r="I192" s="79"/>
      <c r="J192" s="79"/>
      <c r="K192" s="80"/>
    </row>
    <row r="193" spans="1:11" ht="14.25" customHeight="1" x14ac:dyDescent="0.3">
      <c r="A193" s="57" t="str">
        <f>IF(B193&lt;&gt;"", COUNTA($B$23:B193), "")</f>
        <v/>
      </c>
      <c r="B193" s="77"/>
      <c r="C193" s="78"/>
      <c r="D193" s="61"/>
      <c r="E193" s="61"/>
      <c r="F193" s="79"/>
      <c r="G193" s="79"/>
      <c r="H193" s="79"/>
      <c r="I193" s="80"/>
      <c r="J193" s="80"/>
      <c r="K193" s="80"/>
    </row>
    <row r="194" spans="1:11" ht="14.25" customHeight="1" x14ac:dyDescent="0.3">
      <c r="A194" s="57" t="str">
        <f>IF(B194&lt;&gt;"", COUNTA($B$23:B194), "")</f>
        <v/>
      </c>
      <c r="B194" s="77"/>
      <c r="C194" s="78"/>
      <c r="D194" s="61"/>
      <c r="E194" s="61"/>
      <c r="F194" s="79"/>
      <c r="G194" s="79"/>
      <c r="H194" s="79"/>
      <c r="I194" s="79"/>
      <c r="J194" s="79"/>
      <c r="K194" s="80"/>
    </row>
    <row r="195" spans="1:11" ht="14.25" customHeight="1" x14ac:dyDescent="0.3">
      <c r="A195" s="57" t="str">
        <f>IF(B195&lt;&gt;"", COUNTA($B$23:B195), "")</f>
        <v/>
      </c>
      <c r="B195" s="77"/>
      <c r="C195" s="78"/>
      <c r="D195" s="61"/>
      <c r="E195" s="61"/>
      <c r="F195" s="79"/>
      <c r="G195" s="79"/>
      <c r="H195" s="79"/>
      <c r="I195" s="79"/>
      <c r="J195" s="79"/>
      <c r="K195" s="80"/>
    </row>
    <row r="196" spans="1:11" ht="14.25" customHeight="1" x14ac:dyDescent="0.3">
      <c r="A196" s="57" t="str">
        <f>IF(B196&lt;&gt;"", COUNTA($B$23:B196), "")</f>
        <v/>
      </c>
      <c r="B196" s="77"/>
      <c r="C196" s="78"/>
      <c r="D196" s="61"/>
      <c r="E196" s="61"/>
      <c r="F196" s="79"/>
      <c r="G196" s="79"/>
      <c r="H196" s="79"/>
      <c r="I196" s="79"/>
      <c r="J196" s="79"/>
      <c r="K196" s="80"/>
    </row>
    <row r="197" spans="1:11" ht="14.25" customHeight="1" x14ac:dyDescent="0.3">
      <c r="A197" s="57" t="str">
        <f>IF(B197&lt;&gt;"", COUNTA($B$23:B197), "")</f>
        <v/>
      </c>
      <c r="B197" s="77"/>
      <c r="C197" s="78"/>
      <c r="D197" s="61"/>
      <c r="E197" s="61"/>
      <c r="F197" s="79"/>
      <c r="G197" s="79"/>
      <c r="H197" s="79"/>
      <c r="I197" s="79"/>
      <c r="J197" s="79"/>
      <c r="K197" s="80"/>
    </row>
    <row r="198" spans="1:11" ht="14.25" customHeight="1" x14ac:dyDescent="0.3">
      <c r="A198" s="57" t="str">
        <f>IF(B198&lt;&gt;"", COUNTA($B$23:B198), "")</f>
        <v/>
      </c>
      <c r="B198" s="77"/>
      <c r="C198" s="78"/>
      <c r="D198" s="61"/>
      <c r="E198" s="61"/>
      <c r="F198" s="79"/>
      <c r="G198" s="79"/>
      <c r="H198" s="79"/>
      <c r="I198" s="79"/>
      <c r="J198" s="79"/>
      <c r="K198" s="80"/>
    </row>
    <row r="199" spans="1:11" ht="14.25" customHeight="1" x14ac:dyDescent="0.3">
      <c r="A199" s="57" t="str">
        <f>IF(B199&lt;&gt;"", COUNTA($B$23:B199), "")</f>
        <v/>
      </c>
      <c r="B199" s="77"/>
      <c r="C199" s="78"/>
      <c r="D199" s="61"/>
      <c r="E199" s="61"/>
      <c r="F199" s="79"/>
      <c r="G199" s="79"/>
      <c r="H199" s="79"/>
      <c r="I199" s="79"/>
      <c r="J199" s="79"/>
      <c r="K199" s="80"/>
    </row>
    <row r="200" spans="1:11" ht="14.25" customHeight="1" x14ac:dyDescent="0.3">
      <c r="A200" s="57" t="str">
        <f>IF(B200&lt;&gt;"", COUNTA($B$23:B200), "")</f>
        <v/>
      </c>
      <c r="B200" s="77"/>
      <c r="C200" s="78"/>
      <c r="D200" s="61"/>
      <c r="E200" s="61"/>
      <c r="F200" s="79"/>
      <c r="G200" s="79"/>
      <c r="H200" s="79"/>
      <c r="I200" s="79"/>
      <c r="J200" s="79"/>
      <c r="K200" s="80"/>
    </row>
    <row r="201" spans="1:11" ht="14.25" customHeight="1" x14ac:dyDescent="0.3">
      <c r="A201" s="57" t="str">
        <f>IF(B201&lt;&gt;"", COUNTA($B$23:B201), "")</f>
        <v/>
      </c>
      <c r="B201" s="77"/>
      <c r="C201" s="78"/>
      <c r="D201" s="61"/>
      <c r="E201" s="61"/>
      <c r="F201" s="79"/>
      <c r="G201" s="79"/>
      <c r="H201" s="79"/>
      <c r="I201" s="79"/>
      <c r="J201" s="79"/>
      <c r="K201" s="80"/>
    </row>
    <row r="202" spans="1:11" ht="14.25" customHeight="1" x14ac:dyDescent="0.3">
      <c r="A202" s="57" t="str">
        <f>IF(B202&lt;&gt;"", COUNTA($B$23:B202), "")</f>
        <v/>
      </c>
      <c r="B202" s="77"/>
      <c r="C202" s="78"/>
      <c r="D202" s="61"/>
      <c r="E202" s="61"/>
      <c r="F202" s="79"/>
      <c r="G202" s="79"/>
      <c r="H202" s="79"/>
      <c r="I202" s="79"/>
      <c r="J202" s="79"/>
      <c r="K202" s="80"/>
    </row>
    <row r="203" spans="1:11" ht="14.25" customHeight="1" x14ac:dyDescent="0.3">
      <c r="A203" s="57" t="str">
        <f>IF(B203&lt;&gt;"", COUNTA($B$23:B203), "")</f>
        <v/>
      </c>
      <c r="B203" s="77"/>
      <c r="C203" s="78"/>
      <c r="D203" s="61"/>
      <c r="E203" s="61"/>
      <c r="F203" s="79"/>
      <c r="G203" s="79"/>
      <c r="H203" s="79"/>
      <c r="I203" s="79"/>
      <c r="J203" s="79"/>
      <c r="K203" s="80"/>
    </row>
    <row r="204" spans="1:11" ht="14.25" customHeight="1" x14ac:dyDescent="0.3">
      <c r="A204" s="57" t="str">
        <f>IF(B204&lt;&gt;"", COUNTA($B$23:B204), "")</f>
        <v/>
      </c>
      <c r="B204" s="77"/>
      <c r="C204" s="78"/>
      <c r="D204" s="61"/>
      <c r="E204" s="61"/>
      <c r="F204" s="79"/>
      <c r="G204" s="79"/>
      <c r="H204" s="79"/>
      <c r="I204" s="79"/>
      <c r="J204" s="79"/>
      <c r="K204" s="80"/>
    </row>
    <row r="205" spans="1:11" ht="14.25" customHeight="1" x14ac:dyDescent="0.3">
      <c r="A205" s="57" t="str">
        <f>IF(B205&lt;&gt;"", COUNTA($B$23:B205), "")</f>
        <v/>
      </c>
      <c r="B205" s="77"/>
      <c r="C205" s="78"/>
      <c r="D205" s="61"/>
      <c r="E205" s="61"/>
      <c r="F205" s="79"/>
      <c r="G205" s="79"/>
      <c r="H205" s="79"/>
      <c r="I205" s="79"/>
      <c r="J205" s="79"/>
      <c r="K205" s="80"/>
    </row>
    <row r="206" spans="1:11" ht="14.25" customHeight="1" x14ac:dyDescent="0.3">
      <c r="A206" s="57" t="str">
        <f>IF(B206&lt;&gt;"", COUNTA($B$23:B206), "")</f>
        <v/>
      </c>
      <c r="B206" s="77"/>
      <c r="C206" s="78"/>
      <c r="D206" s="61"/>
      <c r="E206" s="61"/>
      <c r="F206" s="79"/>
      <c r="G206" s="79"/>
      <c r="H206" s="79"/>
      <c r="I206" s="79"/>
      <c r="J206" s="79"/>
      <c r="K206" s="80"/>
    </row>
    <row r="207" spans="1:11" ht="14.25" customHeight="1" x14ac:dyDescent="0.3">
      <c r="A207" s="57" t="str">
        <f>IF(B207&lt;&gt;"", COUNTA($B$23:B207), "")</f>
        <v/>
      </c>
      <c r="B207" s="77"/>
      <c r="C207" s="78"/>
      <c r="D207" s="61"/>
      <c r="E207" s="61"/>
      <c r="F207" s="79"/>
      <c r="G207" s="79"/>
      <c r="H207" s="79"/>
      <c r="I207" s="79"/>
      <c r="J207" s="79"/>
      <c r="K207" s="80"/>
    </row>
    <row r="208" spans="1:11" ht="14.25" customHeight="1" x14ac:dyDescent="0.3">
      <c r="A208" s="57" t="str">
        <f>IF(B208&lt;&gt;"", COUNTA($B$23:B208), "")</f>
        <v/>
      </c>
      <c r="B208" s="77"/>
      <c r="C208" s="78"/>
      <c r="D208" s="61"/>
      <c r="E208" s="61"/>
      <c r="F208" s="79"/>
      <c r="G208" s="79"/>
      <c r="H208" s="79"/>
      <c r="I208" s="79"/>
      <c r="J208" s="79"/>
      <c r="K208" s="80"/>
    </row>
    <row r="209" spans="1:11" ht="14.25" customHeight="1" x14ac:dyDescent="0.3">
      <c r="A209" s="57" t="str">
        <f>IF(B209&lt;&gt;"", COUNTA($B$23:B209), "")</f>
        <v/>
      </c>
      <c r="B209" s="77"/>
      <c r="C209" s="78"/>
      <c r="D209" s="61"/>
      <c r="E209" s="61"/>
      <c r="F209" s="79"/>
      <c r="G209" s="79"/>
      <c r="H209" s="79"/>
      <c r="I209" s="79"/>
      <c r="J209" s="79"/>
      <c r="K209" s="80"/>
    </row>
    <row r="210" spans="1:11" ht="14.25" customHeight="1" x14ac:dyDescent="0.3">
      <c r="A210" s="57" t="str">
        <f>IF(B210&lt;&gt;"", COUNTA($B$23:B210), "")</f>
        <v/>
      </c>
      <c r="B210" s="77"/>
      <c r="C210" s="78"/>
      <c r="D210" s="61"/>
      <c r="E210" s="61"/>
      <c r="F210" s="79"/>
      <c r="G210" s="79"/>
      <c r="H210" s="79"/>
      <c r="I210" s="80"/>
      <c r="J210" s="80"/>
      <c r="K210" s="80"/>
    </row>
    <row r="211" spans="1:11" ht="14.25" customHeight="1" x14ac:dyDescent="0.3">
      <c r="A211" s="57" t="str">
        <f>IF(B211&lt;&gt;"", COUNTA($B$23:B211), "")</f>
        <v/>
      </c>
      <c r="B211" s="77"/>
      <c r="C211" s="78"/>
      <c r="D211" s="61"/>
      <c r="E211" s="61"/>
      <c r="F211" s="79"/>
      <c r="G211" s="79"/>
      <c r="H211" s="79"/>
      <c r="I211" s="79"/>
      <c r="J211" s="79"/>
      <c r="K211" s="80"/>
    </row>
    <row r="212" spans="1:11" ht="14.25" customHeight="1" x14ac:dyDescent="0.3">
      <c r="A212" s="57" t="str">
        <f>IF(B212&lt;&gt;"", COUNTA($B$23:B212), "")</f>
        <v/>
      </c>
      <c r="B212" s="77"/>
      <c r="C212" s="78"/>
      <c r="D212" s="61"/>
      <c r="E212" s="61"/>
      <c r="F212" s="79"/>
      <c r="G212" s="79"/>
      <c r="H212" s="79"/>
      <c r="I212" s="79"/>
      <c r="J212" s="79"/>
      <c r="K212" s="80"/>
    </row>
    <row r="213" spans="1:11" ht="14.25" customHeight="1" x14ac:dyDescent="0.3">
      <c r="A213" s="57" t="str">
        <f>IF(B213&lt;&gt;"", COUNTA($B$23:B213), "")</f>
        <v/>
      </c>
      <c r="B213" s="77"/>
      <c r="C213" s="78"/>
      <c r="D213" s="61"/>
      <c r="E213" s="61"/>
      <c r="F213" s="79"/>
      <c r="G213" s="79"/>
      <c r="H213" s="79"/>
      <c r="I213" s="79"/>
      <c r="J213" s="79"/>
      <c r="K213" s="80"/>
    </row>
    <row r="214" spans="1:11" ht="14.25" customHeight="1" x14ac:dyDescent="0.3">
      <c r="A214" s="57" t="str">
        <f>IF(B214&lt;&gt;"", COUNTA($B$23:B214), "")</f>
        <v/>
      </c>
      <c r="B214" s="77"/>
      <c r="C214" s="78"/>
      <c r="D214" s="61"/>
      <c r="E214" s="61"/>
      <c r="F214" s="79"/>
      <c r="G214" s="79"/>
      <c r="H214" s="79"/>
      <c r="I214" s="79"/>
      <c r="J214" s="79"/>
      <c r="K214" s="80"/>
    </row>
    <row r="215" spans="1:11" ht="14.25" customHeight="1" x14ac:dyDescent="0.3">
      <c r="A215" s="57" t="str">
        <f>IF(B215&lt;&gt;"", COUNTA($B$23:B215), "")</f>
        <v/>
      </c>
      <c r="B215" s="77"/>
      <c r="C215" s="78"/>
      <c r="D215" s="61"/>
      <c r="E215" s="61"/>
      <c r="F215" s="79"/>
      <c r="G215" s="79"/>
      <c r="H215" s="79"/>
      <c r="I215" s="79"/>
      <c r="J215" s="79"/>
      <c r="K215" s="80"/>
    </row>
    <row r="216" spans="1:11" ht="14.25" customHeight="1" x14ac:dyDescent="0.3">
      <c r="A216" s="57" t="str">
        <f>IF(B216&lt;&gt;"", COUNTA($B$23:B216), "")</f>
        <v/>
      </c>
      <c r="B216" s="77"/>
      <c r="C216" s="78"/>
      <c r="D216" s="61"/>
      <c r="E216" s="61"/>
      <c r="F216" s="79"/>
      <c r="G216" s="79"/>
      <c r="H216" s="79"/>
      <c r="I216" s="79"/>
      <c r="J216" s="79"/>
      <c r="K216" s="80"/>
    </row>
    <row r="217" spans="1:11" ht="14.25" customHeight="1" x14ac:dyDescent="0.3">
      <c r="A217" s="57" t="str">
        <f>IF(B217&lt;&gt;"", COUNTA($B$23:B217), "")</f>
        <v/>
      </c>
      <c r="B217" s="77"/>
      <c r="C217" s="78"/>
      <c r="D217" s="61"/>
      <c r="E217" s="61"/>
      <c r="F217" s="79"/>
      <c r="G217" s="79"/>
      <c r="H217" s="79"/>
      <c r="I217" s="79"/>
      <c r="J217" s="79"/>
      <c r="K217" s="80"/>
    </row>
    <row r="218" spans="1:11" ht="14.25" customHeight="1" x14ac:dyDescent="0.3">
      <c r="A218" s="57" t="str">
        <f>IF(B218&lt;&gt;"", COUNTA($B$23:B218), "")</f>
        <v/>
      </c>
      <c r="B218" s="77"/>
      <c r="C218" s="78"/>
      <c r="D218" s="61"/>
      <c r="E218" s="61"/>
      <c r="F218" s="79"/>
      <c r="G218" s="79"/>
      <c r="H218" s="79"/>
      <c r="I218" s="79"/>
      <c r="J218" s="79"/>
      <c r="K218" s="80"/>
    </row>
    <row r="219" spans="1:11" ht="14.25" customHeight="1" x14ac:dyDescent="0.3">
      <c r="A219" s="57" t="str">
        <f>IF(B219&lt;&gt;"", COUNTA($B$23:B219), "")</f>
        <v/>
      </c>
      <c r="B219" s="77"/>
      <c r="C219" s="78"/>
      <c r="D219" s="61"/>
      <c r="E219" s="61"/>
      <c r="F219" s="79"/>
      <c r="G219" s="79"/>
      <c r="H219" s="79"/>
      <c r="I219" s="79"/>
      <c r="J219" s="79"/>
      <c r="K219" s="80"/>
    </row>
    <row r="220" spans="1:11" ht="14.25" customHeight="1" x14ac:dyDescent="0.3">
      <c r="A220" s="57" t="str">
        <f>IF(B220&lt;&gt;"", COUNTA($B$23:B220), "")</f>
        <v/>
      </c>
      <c r="B220" s="77"/>
      <c r="C220" s="78"/>
      <c r="D220" s="61"/>
      <c r="E220" s="61"/>
      <c r="F220" s="79"/>
      <c r="G220" s="79"/>
      <c r="H220" s="79"/>
      <c r="I220" s="79"/>
      <c r="J220" s="79"/>
      <c r="K220" s="80"/>
    </row>
    <row r="221" spans="1:11" ht="14.25" customHeight="1" x14ac:dyDescent="0.3">
      <c r="A221" s="57" t="str">
        <f>IF(B221&lt;&gt;"", COUNTA($B$23:B221), "")</f>
        <v/>
      </c>
      <c r="B221" s="77"/>
      <c r="C221" s="78"/>
      <c r="D221" s="61"/>
      <c r="E221" s="61"/>
      <c r="F221" s="79"/>
      <c r="G221" s="79"/>
      <c r="H221" s="79"/>
      <c r="I221" s="79"/>
      <c r="J221" s="79"/>
      <c r="K221" s="80"/>
    </row>
    <row r="222" spans="1:11" ht="14.25" customHeight="1" x14ac:dyDescent="0.3">
      <c r="A222" s="57" t="str">
        <f>IF(B222&lt;&gt;"", COUNTA($B$23:B222), "")</f>
        <v/>
      </c>
      <c r="B222" s="77"/>
      <c r="C222" s="78"/>
      <c r="D222" s="61"/>
      <c r="E222" s="61"/>
      <c r="F222" s="79"/>
      <c r="G222" s="79"/>
      <c r="H222" s="79"/>
      <c r="I222" s="79"/>
      <c r="J222" s="79"/>
      <c r="K222" s="80"/>
    </row>
    <row r="223" spans="1:11" ht="14.25" customHeight="1" x14ac:dyDescent="0.3">
      <c r="A223" s="57" t="str">
        <f>IF(B223&lt;&gt;"", COUNTA($B$23:B223), "")</f>
        <v/>
      </c>
      <c r="B223" s="77"/>
      <c r="C223" s="78"/>
      <c r="D223" s="61"/>
      <c r="E223" s="61"/>
      <c r="F223" s="79"/>
      <c r="G223" s="79"/>
      <c r="H223" s="79"/>
      <c r="I223" s="79"/>
      <c r="J223" s="79"/>
      <c r="K223" s="80"/>
    </row>
    <row r="224" spans="1:11" ht="14.25" customHeight="1" x14ac:dyDescent="0.3">
      <c r="A224" s="57" t="str">
        <f>IF(B224&lt;&gt;"", COUNTA($B$23:B224), "")</f>
        <v/>
      </c>
      <c r="B224" s="77"/>
      <c r="C224" s="78"/>
      <c r="D224" s="61"/>
      <c r="E224" s="61"/>
      <c r="F224" s="79"/>
      <c r="G224" s="79"/>
      <c r="H224" s="79"/>
      <c r="I224" s="79"/>
      <c r="J224" s="79"/>
      <c r="K224" s="80"/>
    </row>
    <row r="225" spans="1:11" ht="14.25" customHeight="1" x14ac:dyDescent="0.3">
      <c r="A225" s="57" t="str">
        <f>IF(B225&lt;&gt;"", COUNTA($B$23:B225), "")</f>
        <v/>
      </c>
      <c r="B225" s="77"/>
      <c r="C225" s="78"/>
      <c r="D225" s="61"/>
      <c r="E225" s="61"/>
      <c r="F225" s="79"/>
      <c r="G225" s="79"/>
      <c r="H225" s="79"/>
      <c r="I225" s="79"/>
      <c r="J225" s="79"/>
      <c r="K225" s="80"/>
    </row>
    <row r="226" spans="1:11" ht="14.25" customHeight="1" x14ac:dyDescent="0.3">
      <c r="A226" s="57" t="str">
        <f>IF(B226&lt;&gt;"", COUNTA($B$23:B226), "")</f>
        <v/>
      </c>
      <c r="B226" s="77"/>
      <c r="C226" s="78"/>
      <c r="D226" s="61"/>
      <c r="E226" s="61"/>
      <c r="F226" s="79"/>
      <c r="G226" s="79"/>
      <c r="H226" s="79"/>
      <c r="I226" s="79"/>
      <c r="J226" s="79"/>
      <c r="K226" s="80"/>
    </row>
    <row r="227" spans="1:11" ht="14.25" customHeight="1" x14ac:dyDescent="0.3">
      <c r="A227" s="57" t="str">
        <f>IF(B227&lt;&gt;"", COUNTA($B$23:B227), "")</f>
        <v/>
      </c>
      <c r="B227" s="77"/>
      <c r="C227" s="78"/>
      <c r="D227" s="61"/>
      <c r="E227" s="61"/>
      <c r="F227" s="79"/>
      <c r="G227" s="79"/>
      <c r="H227" s="79"/>
      <c r="I227" s="79"/>
      <c r="J227" s="79"/>
      <c r="K227" s="80"/>
    </row>
    <row r="228" spans="1:11" ht="14.25" customHeight="1" x14ac:dyDescent="0.3">
      <c r="A228" s="57" t="str">
        <f>IF(B228&lt;&gt;"", COUNTA($B$23:B228), "")</f>
        <v/>
      </c>
      <c r="B228" s="77"/>
      <c r="C228" s="78"/>
      <c r="D228" s="61"/>
      <c r="E228" s="61"/>
      <c r="F228" s="79"/>
      <c r="G228" s="79"/>
      <c r="H228" s="79"/>
      <c r="I228" s="79"/>
      <c r="J228" s="79"/>
      <c r="K228" s="80"/>
    </row>
    <row r="229" spans="1:11" ht="14.25" customHeight="1" x14ac:dyDescent="0.3">
      <c r="A229" s="57" t="str">
        <f>IF(B229&lt;&gt;"", COUNTA($B$23:B229), "")</f>
        <v/>
      </c>
      <c r="B229" s="77"/>
      <c r="C229" s="78"/>
      <c r="D229" s="61"/>
      <c r="E229" s="61"/>
      <c r="F229" s="79"/>
      <c r="G229" s="79"/>
      <c r="H229" s="79"/>
      <c r="I229" s="79"/>
      <c r="J229" s="79"/>
      <c r="K229" s="80"/>
    </row>
    <row r="230" spans="1:11" ht="14.25" customHeight="1" x14ac:dyDescent="0.3">
      <c r="A230" s="57" t="str">
        <f>IF(B230&lt;&gt;"", COUNTA($B$23:B230), "")</f>
        <v/>
      </c>
      <c r="B230" s="77"/>
      <c r="C230" s="78"/>
      <c r="D230" s="61"/>
      <c r="E230" s="61"/>
      <c r="F230" s="79"/>
      <c r="G230" s="79"/>
      <c r="H230" s="79"/>
      <c r="I230" s="79"/>
      <c r="J230" s="79"/>
      <c r="K230" s="80"/>
    </row>
    <row r="231" spans="1:11" ht="14.25" customHeight="1" x14ac:dyDescent="0.3">
      <c r="A231" s="57" t="str">
        <f>IF(B231&lt;&gt;"", COUNTA($B$23:B231), "")</f>
        <v/>
      </c>
      <c r="B231" s="77"/>
      <c r="C231" s="78"/>
      <c r="D231" s="61"/>
      <c r="E231" s="61"/>
      <c r="F231" s="79"/>
      <c r="G231" s="79"/>
      <c r="H231" s="79"/>
      <c r="I231" s="79"/>
      <c r="J231" s="79"/>
      <c r="K231" s="80"/>
    </row>
    <row r="232" spans="1:11" ht="14.25" customHeight="1" x14ac:dyDescent="0.3">
      <c r="A232" s="57" t="str">
        <f>IF(B232&lt;&gt;"", COUNTA($B$23:B232), "")</f>
        <v/>
      </c>
      <c r="B232" s="77"/>
      <c r="C232" s="78"/>
      <c r="D232" s="61"/>
      <c r="E232" s="61"/>
      <c r="F232" s="79"/>
      <c r="G232" s="79"/>
      <c r="H232" s="79"/>
      <c r="I232" s="79"/>
      <c r="J232" s="79"/>
      <c r="K232" s="80"/>
    </row>
    <row r="233" spans="1:11" ht="14.25" customHeight="1" x14ac:dyDescent="0.3">
      <c r="A233" s="57" t="str">
        <f>IF(B233&lt;&gt;"", COUNTA($B$23:B233), "")</f>
        <v/>
      </c>
      <c r="B233" s="77"/>
      <c r="C233" s="78"/>
      <c r="D233" s="61"/>
      <c r="E233" s="61"/>
      <c r="F233" s="79"/>
      <c r="G233" s="79"/>
      <c r="H233" s="79"/>
      <c r="I233" s="79"/>
      <c r="J233" s="79"/>
      <c r="K233" s="80"/>
    </row>
    <row r="234" spans="1:11" ht="14.25" customHeight="1" x14ac:dyDescent="0.3">
      <c r="A234" s="57" t="str">
        <f>IF(B234&lt;&gt;"", COUNTA($B$23:B234), "")</f>
        <v/>
      </c>
      <c r="B234" s="77"/>
      <c r="C234" s="78"/>
      <c r="D234" s="61"/>
      <c r="E234" s="61"/>
      <c r="F234" s="79"/>
      <c r="G234" s="79"/>
      <c r="H234" s="79"/>
      <c r="I234" s="79"/>
      <c r="J234" s="79"/>
      <c r="K234" s="80"/>
    </row>
    <row r="235" spans="1:11" ht="14.25" customHeight="1" x14ac:dyDescent="0.3">
      <c r="A235" s="57" t="str">
        <f>IF(B235&lt;&gt;"", COUNTA($B$23:B235), "")</f>
        <v/>
      </c>
      <c r="B235" s="77"/>
      <c r="C235" s="78"/>
      <c r="D235" s="61"/>
      <c r="E235" s="61"/>
      <c r="F235" s="79"/>
      <c r="G235" s="79"/>
      <c r="H235" s="79"/>
      <c r="I235" s="79"/>
      <c r="J235" s="79"/>
      <c r="K235" s="80"/>
    </row>
    <row r="236" spans="1:11" ht="14.25" customHeight="1" x14ac:dyDescent="0.3">
      <c r="A236" s="57" t="str">
        <f>IF(B236&lt;&gt;"", COUNTA($B$23:B236), "")</f>
        <v/>
      </c>
      <c r="B236" s="77"/>
      <c r="C236" s="78"/>
      <c r="D236" s="61"/>
      <c r="E236" s="61"/>
      <c r="F236" s="79"/>
      <c r="G236" s="79"/>
      <c r="H236" s="79"/>
      <c r="I236" s="79"/>
      <c r="J236" s="79"/>
      <c r="K236" s="80"/>
    </row>
    <row r="237" spans="1:11" ht="14.25" customHeight="1" x14ac:dyDescent="0.3">
      <c r="A237" s="57" t="str">
        <f>IF(B237&lt;&gt;"", COUNTA($B$23:B237), "")</f>
        <v/>
      </c>
      <c r="B237" s="77"/>
      <c r="C237" s="78"/>
      <c r="D237" s="61"/>
      <c r="E237" s="61"/>
      <c r="F237" s="79"/>
      <c r="G237" s="79"/>
      <c r="H237" s="79"/>
      <c r="I237" s="79"/>
      <c r="J237" s="79"/>
      <c r="K237" s="80"/>
    </row>
    <row r="238" spans="1:11" ht="14.25" customHeight="1" x14ac:dyDescent="0.3">
      <c r="A238" s="57" t="str">
        <f>IF(B238&lt;&gt;"", COUNTA($B$23:B238), "")</f>
        <v/>
      </c>
      <c r="B238" s="77"/>
      <c r="C238" s="78"/>
      <c r="D238" s="61"/>
      <c r="E238" s="61"/>
      <c r="F238" s="79"/>
      <c r="G238" s="79"/>
      <c r="H238" s="79"/>
      <c r="I238" s="79"/>
      <c r="J238" s="79"/>
      <c r="K238" s="80"/>
    </row>
    <row r="239" spans="1:11" ht="14.25" customHeight="1" x14ac:dyDescent="0.3">
      <c r="A239" s="57" t="str">
        <f>IF(B239&lt;&gt;"", COUNTA($B$23:B239), "")</f>
        <v/>
      </c>
      <c r="B239" s="77"/>
      <c r="C239" s="78"/>
      <c r="D239" s="61"/>
      <c r="E239" s="61"/>
      <c r="F239" s="79"/>
      <c r="G239" s="79"/>
      <c r="H239" s="79"/>
      <c r="I239" s="79"/>
      <c r="J239" s="79"/>
      <c r="K239" s="80"/>
    </row>
    <row r="240" spans="1:11" ht="14.25" customHeight="1" x14ac:dyDescent="0.3">
      <c r="A240" s="57" t="str">
        <f>IF(B240&lt;&gt;"", COUNTA($B$23:B240), "")</f>
        <v/>
      </c>
      <c r="B240" s="77"/>
      <c r="C240" s="78"/>
      <c r="D240" s="61"/>
      <c r="E240" s="61"/>
      <c r="F240" s="79"/>
      <c r="G240" s="79"/>
      <c r="H240" s="79"/>
      <c r="I240" s="79"/>
      <c r="J240" s="79"/>
      <c r="K240" s="80"/>
    </row>
    <row r="241" spans="1:11" ht="14.25" customHeight="1" x14ac:dyDescent="0.3">
      <c r="A241" s="57" t="str">
        <f>IF(B241&lt;&gt;"", COUNTA($B$23:B241), "")</f>
        <v/>
      </c>
      <c r="B241" s="77"/>
      <c r="C241" s="78"/>
      <c r="D241" s="61"/>
      <c r="E241" s="61"/>
      <c r="F241" s="79"/>
      <c r="G241" s="79"/>
      <c r="H241" s="79"/>
      <c r="I241" s="79"/>
      <c r="J241" s="79"/>
      <c r="K241" s="80"/>
    </row>
    <row r="242" spans="1:11" ht="14.25" customHeight="1" x14ac:dyDescent="0.3">
      <c r="A242" s="57" t="str">
        <f>IF(B242&lt;&gt;"", COUNTA($B$23:B242), "")</f>
        <v/>
      </c>
      <c r="B242" s="77"/>
      <c r="C242" s="78"/>
      <c r="D242" s="61"/>
      <c r="E242" s="61"/>
      <c r="F242" s="79"/>
      <c r="G242" s="79"/>
      <c r="H242" s="79"/>
      <c r="I242" s="79"/>
      <c r="J242" s="79"/>
      <c r="K242" s="80"/>
    </row>
    <row r="243" spans="1:11" ht="14.25" customHeight="1" x14ac:dyDescent="0.3">
      <c r="A243" s="57" t="str">
        <f>IF(B243&lt;&gt;"", COUNTA($B$23:B243), "")</f>
        <v/>
      </c>
      <c r="B243" s="77"/>
      <c r="C243" s="78"/>
      <c r="D243" s="61"/>
      <c r="E243" s="61"/>
      <c r="F243" s="79"/>
      <c r="G243" s="79"/>
      <c r="H243" s="79"/>
      <c r="I243" s="79"/>
      <c r="J243" s="79"/>
      <c r="K243" s="80"/>
    </row>
    <row r="244" spans="1:11" ht="14.25" customHeight="1" x14ac:dyDescent="0.3">
      <c r="A244" s="57" t="str">
        <f>IF(B244&lt;&gt;"", COUNTA($B$23:B244), "")</f>
        <v/>
      </c>
      <c r="B244" s="77"/>
      <c r="C244" s="78"/>
      <c r="D244" s="61"/>
      <c r="E244" s="61"/>
      <c r="F244" s="79"/>
      <c r="G244" s="79"/>
      <c r="H244" s="79"/>
      <c r="I244" s="79"/>
      <c r="J244" s="79"/>
      <c r="K244" s="80"/>
    </row>
    <row r="245" spans="1:11" ht="14.25" customHeight="1" x14ac:dyDescent="0.3">
      <c r="A245" s="57" t="str">
        <f>IF(B245&lt;&gt;"", COUNTA($B$23:B245), "")</f>
        <v/>
      </c>
      <c r="B245" s="77"/>
      <c r="C245" s="78"/>
      <c r="D245" s="61"/>
      <c r="E245" s="61"/>
      <c r="F245" s="79"/>
      <c r="G245" s="79"/>
      <c r="H245" s="79"/>
      <c r="I245" s="79"/>
      <c r="J245" s="79"/>
      <c r="K245" s="80"/>
    </row>
    <row r="246" spans="1:11" ht="14.25" customHeight="1" x14ac:dyDescent="0.3">
      <c r="A246" s="57" t="str">
        <f>IF(B246&lt;&gt;"", COUNTA($B$23:B246), "")</f>
        <v/>
      </c>
      <c r="B246" s="77"/>
      <c r="C246" s="78"/>
      <c r="D246" s="61"/>
      <c r="E246" s="61"/>
      <c r="F246" s="79"/>
      <c r="G246" s="79"/>
      <c r="H246" s="79"/>
      <c r="I246" s="79"/>
      <c r="J246" s="79"/>
      <c r="K246" s="80"/>
    </row>
    <row r="247" spans="1:11" ht="14.25" customHeight="1" x14ac:dyDescent="0.3">
      <c r="A247" s="57" t="str">
        <f>IF(B247&lt;&gt;"", COUNTA($B$23:B247), "")</f>
        <v/>
      </c>
      <c r="B247" s="77"/>
      <c r="C247" s="78"/>
      <c r="D247" s="61"/>
      <c r="E247" s="61"/>
      <c r="F247" s="79"/>
      <c r="G247" s="79"/>
      <c r="H247" s="79"/>
      <c r="I247" s="79"/>
      <c r="J247" s="79"/>
      <c r="K247" s="80"/>
    </row>
    <row r="248" spans="1:11" ht="14.25" customHeight="1" x14ac:dyDescent="0.3">
      <c r="A248" s="57" t="str">
        <f>IF(B248&lt;&gt;"", COUNTA($B$23:B248), "")</f>
        <v/>
      </c>
      <c r="B248" s="77"/>
      <c r="C248" s="78"/>
      <c r="D248" s="61"/>
      <c r="E248" s="61"/>
      <c r="F248" s="79"/>
      <c r="G248" s="79"/>
      <c r="H248" s="79"/>
      <c r="I248" s="79"/>
      <c r="J248" s="79"/>
      <c r="K248" s="80"/>
    </row>
    <row r="249" spans="1:11" ht="14.25" customHeight="1" x14ac:dyDescent="0.3">
      <c r="A249" s="57" t="str">
        <f>IF(B249&lt;&gt;"", COUNTA($B$23:B249), "")</f>
        <v/>
      </c>
      <c r="B249" s="77"/>
      <c r="C249" s="78"/>
      <c r="D249" s="61"/>
      <c r="E249" s="61"/>
      <c r="F249" s="79"/>
      <c r="G249" s="79"/>
      <c r="H249" s="79"/>
      <c r="I249" s="79"/>
      <c r="J249" s="79"/>
      <c r="K249" s="80"/>
    </row>
    <row r="250" spans="1:11" ht="14.25" customHeight="1" x14ac:dyDescent="0.3">
      <c r="A250" s="57" t="str">
        <f>IF(B250&lt;&gt;"", COUNTA($B$23:B250), "")</f>
        <v/>
      </c>
      <c r="B250" s="77"/>
      <c r="C250" s="78"/>
      <c r="D250" s="61"/>
      <c r="E250" s="61"/>
      <c r="F250" s="79"/>
      <c r="G250" s="79"/>
      <c r="H250" s="79"/>
      <c r="I250" s="79"/>
      <c r="J250" s="79"/>
      <c r="K250" s="80"/>
    </row>
    <row r="251" spans="1:11" ht="14.25" customHeight="1" x14ac:dyDescent="0.3">
      <c r="A251" s="57" t="str">
        <f>IF(B251&lt;&gt;"", COUNTA($B$23:B251), "")</f>
        <v/>
      </c>
      <c r="B251" s="77"/>
      <c r="C251" s="78"/>
      <c r="D251" s="61"/>
      <c r="E251" s="61"/>
      <c r="F251" s="79"/>
      <c r="G251" s="79"/>
      <c r="H251" s="79"/>
      <c r="I251" s="79"/>
      <c r="J251" s="79"/>
      <c r="K251" s="80"/>
    </row>
    <row r="252" spans="1:11" ht="14.25" customHeight="1" x14ac:dyDescent="0.3">
      <c r="A252" s="57" t="str">
        <f>IF(B252&lt;&gt;"", COUNTA($B$23:B252), "")</f>
        <v/>
      </c>
      <c r="B252" s="77"/>
      <c r="C252" s="78"/>
      <c r="D252" s="61"/>
      <c r="E252" s="61"/>
      <c r="F252" s="79"/>
      <c r="G252" s="79"/>
      <c r="H252" s="79"/>
      <c r="I252" s="79"/>
      <c r="J252" s="79"/>
      <c r="K252" s="80"/>
    </row>
    <row r="253" spans="1:11" ht="14.25" customHeight="1" x14ac:dyDescent="0.3">
      <c r="A253" s="57" t="str">
        <f>IF(B253&lt;&gt;"", COUNTA($B$23:B253), "")</f>
        <v/>
      </c>
      <c r="B253" s="77"/>
      <c r="C253" s="78"/>
      <c r="D253" s="61"/>
      <c r="E253" s="61"/>
      <c r="F253" s="79"/>
      <c r="G253" s="79"/>
      <c r="H253" s="79"/>
      <c r="I253" s="79"/>
      <c r="J253" s="79"/>
      <c r="K253" s="80"/>
    </row>
    <row r="254" spans="1:11" ht="14.25" customHeight="1" x14ac:dyDescent="0.3">
      <c r="A254" s="57" t="str">
        <f>IF(B254&lt;&gt;"", COUNTA($B$23:B254), "")</f>
        <v/>
      </c>
      <c r="B254" s="77"/>
      <c r="C254" s="78"/>
      <c r="D254" s="61"/>
      <c r="E254" s="61"/>
      <c r="F254" s="79"/>
      <c r="G254" s="79"/>
      <c r="H254" s="79"/>
      <c r="I254" s="79"/>
      <c r="J254" s="79"/>
      <c r="K254" s="80"/>
    </row>
    <row r="255" spans="1:11" ht="14.25" customHeight="1" x14ac:dyDescent="0.3">
      <c r="A255" s="57" t="str">
        <f>IF(B255&lt;&gt;"", COUNTA($B$23:B255), "")</f>
        <v/>
      </c>
      <c r="B255" s="77"/>
      <c r="C255" s="78"/>
      <c r="D255" s="61"/>
      <c r="E255" s="61"/>
      <c r="F255" s="79"/>
      <c r="G255" s="79"/>
      <c r="H255" s="79"/>
      <c r="I255" s="79"/>
      <c r="J255" s="79"/>
      <c r="K255" s="80"/>
    </row>
    <row r="256" spans="1:11" ht="14.25" customHeight="1" x14ac:dyDescent="0.3">
      <c r="A256" s="57" t="str">
        <f>IF(B256&lt;&gt;"", COUNTA($B$23:B256), "")</f>
        <v/>
      </c>
      <c r="B256" s="77"/>
      <c r="C256" s="78"/>
      <c r="D256" s="61"/>
      <c r="E256" s="61"/>
      <c r="F256" s="79"/>
      <c r="G256" s="79"/>
      <c r="H256" s="79"/>
      <c r="I256" s="79"/>
      <c r="J256" s="79"/>
      <c r="K256" s="80"/>
    </row>
    <row r="257" spans="1:11" ht="14.25" customHeight="1" x14ac:dyDescent="0.3">
      <c r="A257" s="57" t="str">
        <f>IF(B257&lt;&gt;"", COUNTA($B$23:B257), "")</f>
        <v/>
      </c>
      <c r="B257" s="77"/>
      <c r="C257" s="78"/>
      <c r="D257" s="61"/>
      <c r="E257" s="61"/>
      <c r="F257" s="79"/>
      <c r="G257" s="79"/>
      <c r="H257" s="79"/>
      <c r="I257" s="79"/>
      <c r="J257" s="79"/>
      <c r="K257" s="80"/>
    </row>
    <row r="258" spans="1:11" ht="14.25" customHeight="1" x14ac:dyDescent="0.3">
      <c r="A258" s="57" t="str">
        <f>IF(B258&lt;&gt;"", COUNTA($B$23:B258), "")</f>
        <v/>
      </c>
      <c r="B258" s="77"/>
      <c r="C258" s="78"/>
      <c r="D258" s="61"/>
      <c r="E258" s="61"/>
      <c r="F258" s="79"/>
      <c r="G258" s="79"/>
      <c r="H258" s="79"/>
      <c r="I258" s="79"/>
      <c r="J258" s="79"/>
      <c r="K258" s="80"/>
    </row>
    <row r="259" spans="1:11" ht="14.25" customHeight="1" x14ac:dyDescent="0.3">
      <c r="A259" s="57" t="str">
        <f>IF(B259&lt;&gt;"", COUNTA($B$23:B259), "")</f>
        <v/>
      </c>
      <c r="B259" s="77"/>
      <c r="C259" s="78"/>
      <c r="D259" s="61"/>
      <c r="E259" s="61"/>
      <c r="F259" s="79"/>
      <c r="G259" s="79"/>
      <c r="H259" s="79"/>
      <c r="I259" s="79"/>
      <c r="J259" s="79"/>
      <c r="K259" s="80"/>
    </row>
    <row r="260" spans="1:11" ht="14.25" customHeight="1" x14ac:dyDescent="0.3">
      <c r="A260" s="57" t="str">
        <f>IF(B260&lt;&gt;"", COUNTA($B$23:B260), "")</f>
        <v/>
      </c>
      <c r="B260" s="77"/>
      <c r="C260" s="78"/>
      <c r="D260" s="61"/>
      <c r="E260" s="61"/>
      <c r="F260" s="79"/>
      <c r="G260" s="79"/>
      <c r="H260" s="79"/>
      <c r="I260" s="79"/>
      <c r="J260" s="79"/>
      <c r="K260" s="80"/>
    </row>
    <row r="261" spans="1:11" ht="14.25" customHeight="1" x14ac:dyDescent="0.3">
      <c r="A261" s="57" t="str">
        <f>IF(B261&lt;&gt;"", COUNTA($B$23:B261), "")</f>
        <v/>
      </c>
      <c r="B261" s="77"/>
      <c r="C261" s="78"/>
      <c r="D261" s="61"/>
      <c r="E261" s="61"/>
      <c r="F261" s="79"/>
      <c r="G261" s="79"/>
      <c r="H261" s="79"/>
      <c r="I261" s="79"/>
      <c r="J261" s="79"/>
      <c r="K261" s="80"/>
    </row>
    <row r="262" spans="1:11" ht="14.25" customHeight="1" x14ac:dyDescent="0.3">
      <c r="A262" s="57" t="str">
        <f>IF(B262&lt;&gt;"", COUNTA($B$23:B262), "")</f>
        <v/>
      </c>
      <c r="B262" s="77"/>
      <c r="C262" s="78"/>
      <c r="D262" s="61"/>
      <c r="E262" s="61"/>
      <c r="F262" s="79"/>
      <c r="G262" s="79"/>
      <c r="H262" s="79"/>
      <c r="I262" s="79"/>
      <c r="J262" s="79"/>
      <c r="K262" s="80"/>
    </row>
    <row r="263" spans="1:11" ht="14.25" customHeight="1" x14ac:dyDescent="0.3">
      <c r="A263" s="57" t="str">
        <f>IF(B263&lt;&gt;"", COUNTA($B$23:B263), "")</f>
        <v/>
      </c>
      <c r="B263" s="77"/>
      <c r="C263" s="78"/>
      <c r="D263" s="61"/>
      <c r="E263" s="61"/>
      <c r="F263" s="79"/>
      <c r="G263" s="79"/>
      <c r="H263" s="79"/>
      <c r="I263" s="79"/>
      <c r="J263" s="79"/>
      <c r="K263" s="80"/>
    </row>
    <row r="264" spans="1:11" ht="14.25" customHeight="1" x14ac:dyDescent="0.3">
      <c r="A264" s="57" t="str">
        <f>IF(B264&lt;&gt;"", COUNTA($B$23:B264), "")</f>
        <v/>
      </c>
      <c r="B264" s="77"/>
      <c r="C264" s="78"/>
      <c r="D264" s="61"/>
      <c r="E264" s="61"/>
      <c r="F264" s="79"/>
      <c r="G264" s="79"/>
      <c r="H264" s="79"/>
      <c r="I264" s="79"/>
      <c r="J264" s="79"/>
      <c r="K264" s="80"/>
    </row>
    <row r="265" spans="1:11" ht="14.25" customHeight="1" x14ac:dyDescent="0.3">
      <c r="A265" s="57" t="str">
        <f>IF(B265&lt;&gt;"", COUNTA($B$23:B265), "")</f>
        <v/>
      </c>
      <c r="B265" s="77"/>
      <c r="C265" s="78"/>
      <c r="D265" s="61"/>
      <c r="E265" s="61"/>
      <c r="F265" s="79"/>
      <c r="G265" s="79"/>
      <c r="H265" s="79"/>
      <c r="I265" s="79"/>
      <c r="J265" s="79"/>
      <c r="K265" s="80"/>
    </row>
    <row r="266" spans="1:11" ht="14.25" customHeight="1" x14ac:dyDescent="0.3">
      <c r="A266" s="57" t="str">
        <f>IF(B266&lt;&gt;"", COUNTA($B$23:B266), "")</f>
        <v/>
      </c>
      <c r="B266" s="77"/>
      <c r="C266" s="78"/>
      <c r="D266" s="61"/>
      <c r="E266" s="61"/>
      <c r="F266" s="79"/>
      <c r="G266" s="79"/>
      <c r="H266" s="79"/>
      <c r="I266" s="79"/>
      <c r="J266" s="79"/>
      <c r="K266" s="80"/>
    </row>
    <row r="267" spans="1:11" ht="14.25" customHeight="1" x14ac:dyDescent="0.3">
      <c r="A267" s="57" t="str">
        <f>IF(B267&lt;&gt;"", COUNTA($B$23:B267), "")</f>
        <v/>
      </c>
      <c r="B267" s="77"/>
      <c r="C267" s="78"/>
      <c r="D267" s="61"/>
      <c r="E267" s="61"/>
      <c r="F267" s="79"/>
      <c r="G267" s="79"/>
      <c r="H267" s="79"/>
      <c r="I267" s="79"/>
      <c r="J267" s="79"/>
      <c r="K267" s="80"/>
    </row>
    <row r="268" spans="1:11" ht="14.25" customHeight="1" x14ac:dyDescent="0.3">
      <c r="A268" s="57" t="str">
        <f>IF(B268&lt;&gt;"", COUNTA($B$23:B268), "")</f>
        <v/>
      </c>
      <c r="B268" s="77"/>
      <c r="C268" s="78"/>
      <c r="D268" s="61"/>
      <c r="E268" s="61"/>
      <c r="F268" s="79"/>
      <c r="G268" s="79"/>
      <c r="H268" s="79"/>
      <c r="I268" s="79"/>
      <c r="J268" s="79"/>
      <c r="K268" s="80"/>
    </row>
    <row r="269" spans="1:11" ht="14.25" customHeight="1" x14ac:dyDescent="0.3">
      <c r="A269" s="57" t="str">
        <f>IF(B269&lt;&gt;"", COUNTA($B$23:B269), "")</f>
        <v/>
      </c>
      <c r="B269" s="77"/>
      <c r="C269" s="78"/>
      <c r="D269" s="61"/>
      <c r="E269" s="61"/>
      <c r="F269" s="79"/>
      <c r="G269" s="79"/>
      <c r="H269" s="79"/>
      <c r="I269" s="79"/>
      <c r="J269" s="79"/>
      <c r="K269" s="80"/>
    </row>
    <row r="270" spans="1:11" ht="14.25" customHeight="1" x14ac:dyDescent="0.3">
      <c r="A270" s="57" t="str">
        <f>IF(B270&lt;&gt;"", COUNTA($B$23:B270), "")</f>
        <v/>
      </c>
      <c r="B270" s="77"/>
      <c r="C270" s="78"/>
      <c r="D270" s="61"/>
      <c r="E270" s="61"/>
      <c r="F270" s="79"/>
      <c r="G270" s="79"/>
      <c r="H270" s="79"/>
      <c r="I270" s="79"/>
      <c r="J270" s="79"/>
      <c r="K270" s="80"/>
    </row>
    <row r="271" spans="1:11" ht="14.25" customHeight="1" x14ac:dyDescent="0.3">
      <c r="A271" s="57" t="str">
        <f>IF(B271&lt;&gt;"", COUNTA($B$23:B271), "")</f>
        <v/>
      </c>
      <c r="B271" s="77"/>
      <c r="C271" s="78"/>
      <c r="D271" s="61"/>
      <c r="E271" s="61"/>
      <c r="F271" s="79"/>
      <c r="G271" s="79"/>
      <c r="H271" s="79"/>
      <c r="I271" s="79"/>
      <c r="J271" s="79"/>
      <c r="K271" s="80"/>
    </row>
    <row r="272" spans="1:11" ht="14.25" customHeight="1" x14ac:dyDescent="0.3">
      <c r="A272" s="57" t="str">
        <f>IF(B272&lt;&gt;"", COUNTA($B$23:B272), "")</f>
        <v/>
      </c>
      <c r="B272" s="77"/>
      <c r="C272" s="78"/>
      <c r="D272" s="61"/>
      <c r="E272" s="61"/>
      <c r="F272" s="79"/>
      <c r="G272" s="79"/>
      <c r="H272" s="79"/>
      <c r="I272" s="79"/>
      <c r="J272" s="79"/>
      <c r="K272" s="80"/>
    </row>
    <row r="273" spans="1:11" ht="14.25" customHeight="1" x14ac:dyDescent="0.3">
      <c r="A273" s="57" t="str">
        <f>IF(B273&lt;&gt;"", COUNTA($B$23:B273), "")</f>
        <v/>
      </c>
      <c r="B273" s="77"/>
      <c r="C273" s="78"/>
      <c r="D273" s="61"/>
      <c r="E273" s="61"/>
      <c r="F273" s="79"/>
      <c r="G273" s="79"/>
      <c r="H273" s="79"/>
      <c r="I273" s="79"/>
      <c r="J273" s="79"/>
      <c r="K273" s="80"/>
    </row>
    <row r="274" spans="1:11" ht="14.25" customHeight="1" x14ac:dyDescent="0.3">
      <c r="A274" s="57" t="str">
        <f>IF(B274&lt;&gt;"", COUNTA($B$23:B274), "")</f>
        <v/>
      </c>
      <c r="B274" s="77"/>
      <c r="C274" s="78"/>
      <c r="D274" s="61"/>
      <c r="E274" s="61"/>
      <c r="F274" s="79"/>
      <c r="G274" s="79"/>
      <c r="H274" s="79"/>
      <c r="I274" s="79"/>
      <c r="J274" s="79"/>
      <c r="K274" s="80"/>
    </row>
    <row r="275" spans="1:11" ht="14.25" customHeight="1" x14ac:dyDescent="0.3">
      <c r="A275" s="57" t="str">
        <f>IF(B275&lt;&gt;"", COUNTA($B$23:B275), "")</f>
        <v/>
      </c>
      <c r="B275" s="77"/>
      <c r="C275" s="78"/>
      <c r="D275" s="61"/>
      <c r="E275" s="61"/>
      <c r="F275" s="79"/>
      <c r="G275" s="79"/>
      <c r="H275" s="79"/>
      <c r="I275" s="79"/>
      <c r="J275" s="79"/>
      <c r="K275" s="80"/>
    </row>
    <row r="276" spans="1:11" ht="14.25" customHeight="1" x14ac:dyDescent="0.3">
      <c r="A276" s="57" t="str">
        <f>IF(B276&lt;&gt;"", COUNTA($B$23:B276), "")</f>
        <v/>
      </c>
      <c r="B276" s="77"/>
      <c r="C276" s="78"/>
      <c r="D276" s="61"/>
      <c r="E276" s="61"/>
      <c r="F276" s="79"/>
      <c r="G276" s="79"/>
      <c r="H276" s="79"/>
      <c r="I276" s="79"/>
      <c r="J276" s="79"/>
      <c r="K276" s="80"/>
    </row>
    <row r="277" spans="1:11" ht="14.25" customHeight="1" x14ac:dyDescent="0.3">
      <c r="A277" s="57" t="str">
        <f>IF(B277&lt;&gt;"", COUNTA($B$23:B277), "")</f>
        <v/>
      </c>
      <c r="B277" s="77"/>
      <c r="C277" s="78"/>
      <c r="D277" s="61"/>
      <c r="E277" s="61"/>
      <c r="F277" s="79"/>
      <c r="G277" s="79"/>
      <c r="H277" s="79"/>
      <c r="I277" s="79"/>
      <c r="J277" s="79"/>
      <c r="K277" s="80"/>
    </row>
    <row r="278" spans="1:11" ht="14.25" customHeight="1" x14ac:dyDescent="0.3">
      <c r="A278" s="57" t="str">
        <f>IF(B278&lt;&gt;"", COUNTA($B$23:B278), "")</f>
        <v/>
      </c>
      <c r="B278" s="77"/>
      <c r="C278" s="78"/>
      <c r="D278" s="61"/>
      <c r="E278" s="61"/>
      <c r="F278" s="79"/>
      <c r="G278" s="79"/>
      <c r="H278" s="79"/>
      <c r="I278" s="79"/>
      <c r="J278" s="79"/>
      <c r="K278" s="80"/>
    </row>
    <row r="279" spans="1:11" ht="14.25" customHeight="1" x14ac:dyDescent="0.3">
      <c r="A279" s="57" t="str">
        <f>IF(B279&lt;&gt;"", COUNTA($B$23:B279), "")</f>
        <v/>
      </c>
      <c r="B279" s="77"/>
      <c r="C279" s="78"/>
      <c r="D279" s="61"/>
      <c r="E279" s="61"/>
      <c r="F279" s="79"/>
      <c r="G279" s="79"/>
      <c r="H279" s="79"/>
      <c r="I279" s="79"/>
      <c r="J279" s="79"/>
      <c r="K279" s="80"/>
    </row>
    <row r="280" spans="1:11" ht="14.25" customHeight="1" x14ac:dyDescent="0.3">
      <c r="A280" s="57" t="str">
        <f>IF(B280&lt;&gt;"", COUNTA($B$23:B280), "")</f>
        <v/>
      </c>
      <c r="B280" s="77"/>
      <c r="C280" s="78"/>
      <c r="D280" s="61"/>
      <c r="E280" s="61"/>
      <c r="F280" s="79"/>
      <c r="G280" s="79"/>
      <c r="H280" s="79"/>
      <c r="I280" s="79"/>
      <c r="J280" s="79"/>
      <c r="K280" s="80"/>
    </row>
    <row r="281" spans="1:11" ht="14.25" customHeight="1" x14ac:dyDescent="0.3">
      <c r="A281" s="57" t="str">
        <f>IF(B281&lt;&gt;"", COUNTA($B$23:B281), "")</f>
        <v/>
      </c>
      <c r="B281" s="77"/>
      <c r="C281" s="78"/>
      <c r="D281" s="61"/>
      <c r="E281" s="61"/>
      <c r="F281" s="79"/>
      <c r="G281" s="79"/>
      <c r="H281" s="79"/>
      <c r="I281" s="79"/>
      <c r="J281" s="79"/>
      <c r="K281" s="80"/>
    </row>
    <row r="282" spans="1:11" ht="14.25" customHeight="1" x14ac:dyDescent="0.3">
      <c r="A282" s="57" t="str">
        <f>IF(B282&lt;&gt;"", COUNTA($B$23:B282), "")</f>
        <v/>
      </c>
      <c r="B282" s="77"/>
      <c r="C282" s="78"/>
      <c r="D282" s="61"/>
      <c r="E282" s="61"/>
      <c r="F282" s="79"/>
      <c r="G282" s="79"/>
      <c r="H282" s="79"/>
      <c r="I282" s="79"/>
      <c r="J282" s="79"/>
      <c r="K282" s="80"/>
    </row>
    <row r="283" spans="1:11" ht="14.25" customHeight="1" x14ac:dyDescent="0.3">
      <c r="A283" s="57" t="str">
        <f>IF(B283&lt;&gt;"", COUNTA($B$23:B283), "")</f>
        <v/>
      </c>
      <c r="B283" s="77"/>
      <c r="C283" s="78"/>
      <c r="D283" s="61"/>
      <c r="E283" s="61"/>
      <c r="F283" s="79"/>
      <c r="G283" s="79"/>
      <c r="H283" s="79"/>
      <c r="I283" s="79"/>
      <c r="J283" s="79"/>
      <c r="K283" s="80"/>
    </row>
    <row r="284" spans="1:11" ht="14.25" customHeight="1" x14ac:dyDescent="0.3">
      <c r="A284" s="57" t="str">
        <f>IF(B284&lt;&gt;"", COUNTA($B$23:B284), "")</f>
        <v/>
      </c>
      <c r="B284" s="77"/>
      <c r="C284" s="78"/>
      <c r="D284" s="61"/>
      <c r="E284" s="61"/>
      <c r="F284" s="79"/>
      <c r="G284" s="79"/>
      <c r="H284" s="79"/>
      <c r="I284" s="79"/>
      <c r="J284" s="79"/>
      <c r="K284" s="80"/>
    </row>
    <row r="285" spans="1:11" ht="14.25" customHeight="1" x14ac:dyDescent="0.3">
      <c r="A285" s="57" t="str">
        <f>IF(B285&lt;&gt;"", COUNTA($B$23:B285), "")</f>
        <v/>
      </c>
      <c r="B285" s="77"/>
      <c r="C285" s="78"/>
      <c r="D285" s="61"/>
      <c r="E285" s="61"/>
      <c r="F285" s="79"/>
      <c r="G285" s="79"/>
      <c r="H285" s="79"/>
      <c r="I285" s="79"/>
      <c r="J285" s="79"/>
      <c r="K285" s="80"/>
    </row>
    <row r="286" spans="1:11" ht="14.25" customHeight="1" x14ac:dyDescent="0.3">
      <c r="A286" s="57" t="str">
        <f>IF(B286&lt;&gt;"", COUNTA($B$23:B286), "")</f>
        <v/>
      </c>
      <c r="B286" s="77"/>
      <c r="C286" s="78"/>
      <c r="D286" s="61"/>
      <c r="E286" s="61"/>
      <c r="F286" s="79"/>
      <c r="G286" s="79"/>
      <c r="H286" s="79"/>
      <c r="I286" s="79"/>
      <c r="J286" s="79"/>
      <c r="K286" s="80"/>
    </row>
    <row r="287" spans="1:11" ht="14.25" customHeight="1" x14ac:dyDescent="0.3">
      <c r="A287" s="57" t="str">
        <f>IF(B287&lt;&gt;"", COUNTA($B$23:B287), "")</f>
        <v/>
      </c>
      <c r="B287" s="77"/>
      <c r="C287" s="78"/>
      <c r="D287" s="61"/>
      <c r="E287" s="61"/>
      <c r="F287" s="79"/>
      <c r="G287" s="79"/>
      <c r="H287" s="79"/>
      <c r="I287" s="79"/>
      <c r="J287" s="79"/>
      <c r="K287" s="80"/>
    </row>
    <row r="288" spans="1:11" ht="14.25" customHeight="1" x14ac:dyDescent="0.3">
      <c r="A288" s="57" t="str">
        <f>IF(B288&lt;&gt;"", COUNTA($B$23:B288), "")</f>
        <v/>
      </c>
      <c r="B288" s="77"/>
      <c r="C288" s="78"/>
      <c r="D288" s="61"/>
      <c r="E288" s="61"/>
      <c r="F288" s="79"/>
      <c r="G288" s="79"/>
      <c r="H288" s="79"/>
      <c r="I288" s="79"/>
      <c r="J288" s="79"/>
      <c r="K288" s="80"/>
    </row>
    <row r="289" spans="1:11" ht="14.25" customHeight="1" x14ac:dyDescent="0.3">
      <c r="A289" s="57" t="str">
        <f>IF(B289&lt;&gt;"", COUNTA($B$23:B289), "")</f>
        <v/>
      </c>
      <c r="B289" s="77"/>
      <c r="C289" s="78"/>
      <c r="D289" s="61"/>
      <c r="E289" s="61"/>
      <c r="F289" s="79"/>
      <c r="G289" s="79"/>
      <c r="H289" s="79"/>
      <c r="I289" s="79"/>
      <c r="J289" s="79"/>
      <c r="K289" s="80"/>
    </row>
    <row r="290" spans="1:11" ht="14.25" customHeight="1" x14ac:dyDescent="0.3">
      <c r="A290" s="57" t="str">
        <f>IF(B290&lt;&gt;"", COUNTA($B$23:B290), "")</f>
        <v/>
      </c>
      <c r="B290" s="77"/>
      <c r="C290" s="78"/>
      <c r="D290" s="61"/>
      <c r="E290" s="61"/>
      <c r="F290" s="79"/>
      <c r="G290" s="79"/>
      <c r="H290" s="79"/>
      <c r="I290" s="79"/>
      <c r="J290" s="79"/>
      <c r="K290" s="80"/>
    </row>
    <row r="291" spans="1:11" ht="14.25" customHeight="1" x14ac:dyDescent="0.3">
      <c r="A291" s="57" t="str">
        <f>IF(B291&lt;&gt;"", COUNTA($B$23:B291), "")</f>
        <v/>
      </c>
      <c r="B291" s="77"/>
      <c r="C291" s="78"/>
      <c r="D291" s="61"/>
      <c r="E291" s="61"/>
      <c r="F291" s="79"/>
      <c r="G291" s="79"/>
      <c r="H291" s="79"/>
      <c r="I291" s="79"/>
      <c r="J291" s="79"/>
      <c r="K291" s="80"/>
    </row>
    <row r="292" spans="1:11" ht="14.25" customHeight="1" x14ac:dyDescent="0.3">
      <c r="A292" s="57" t="str">
        <f>IF(B292&lt;&gt;"", COUNTA($B$23:B292), "")</f>
        <v/>
      </c>
      <c r="B292" s="77"/>
      <c r="C292" s="78"/>
      <c r="D292" s="61"/>
      <c r="E292" s="61"/>
      <c r="F292" s="79"/>
      <c r="G292" s="79"/>
      <c r="H292" s="79"/>
      <c r="I292" s="79"/>
      <c r="J292" s="79"/>
      <c r="K292" s="80"/>
    </row>
    <row r="293" spans="1:11" ht="14.25" customHeight="1" x14ac:dyDescent="0.3">
      <c r="A293" s="57" t="str">
        <f>IF(B293&lt;&gt;"", COUNTA($B$23:B293), "")</f>
        <v/>
      </c>
      <c r="B293" s="77"/>
      <c r="C293" s="78"/>
      <c r="D293" s="61"/>
      <c r="E293" s="61"/>
      <c r="F293" s="79"/>
      <c r="G293" s="79"/>
      <c r="H293" s="79"/>
      <c r="I293" s="79"/>
      <c r="J293" s="79"/>
      <c r="K293" s="80"/>
    </row>
    <row r="294" spans="1:11" ht="14.25" customHeight="1" x14ac:dyDescent="0.3">
      <c r="A294" s="57" t="str">
        <f>IF(B294&lt;&gt;"", COUNTA($B$23:B294), "")</f>
        <v/>
      </c>
      <c r="B294" s="77"/>
      <c r="C294" s="78"/>
      <c r="D294" s="61"/>
      <c r="E294" s="61"/>
      <c r="F294" s="79"/>
      <c r="G294" s="79"/>
      <c r="H294" s="79"/>
      <c r="I294" s="79"/>
      <c r="J294" s="79"/>
      <c r="K294" s="80"/>
    </row>
    <row r="295" spans="1:11" ht="14.25" customHeight="1" x14ac:dyDescent="0.3">
      <c r="A295" s="57" t="str">
        <f>IF(B295&lt;&gt;"", COUNTA($B$23:B295), "")</f>
        <v/>
      </c>
      <c r="B295" s="77"/>
      <c r="C295" s="78"/>
      <c r="D295" s="61"/>
      <c r="E295" s="61"/>
      <c r="F295" s="79"/>
      <c r="G295" s="79"/>
      <c r="H295" s="79"/>
      <c r="I295" s="79"/>
      <c r="J295" s="79"/>
      <c r="K295" s="80"/>
    </row>
    <row r="296" spans="1:11" ht="14.25" customHeight="1" x14ac:dyDescent="0.3">
      <c r="A296" s="57" t="str">
        <f>IF(B296&lt;&gt;"", COUNTA($B$23:B296), "")</f>
        <v/>
      </c>
      <c r="B296" s="77"/>
      <c r="C296" s="78"/>
      <c r="D296" s="61"/>
      <c r="E296" s="61"/>
      <c r="F296" s="79"/>
      <c r="G296" s="79"/>
      <c r="H296" s="79"/>
      <c r="I296" s="79"/>
      <c r="J296" s="79"/>
      <c r="K296" s="80"/>
    </row>
    <row r="297" spans="1:11" ht="14.25" customHeight="1" x14ac:dyDescent="0.3">
      <c r="A297" s="57" t="str">
        <f>IF(B297&lt;&gt;"", COUNTA($B$23:B297), "")</f>
        <v/>
      </c>
      <c r="B297" s="77"/>
      <c r="C297" s="78"/>
      <c r="D297" s="61"/>
      <c r="E297" s="61"/>
      <c r="F297" s="79"/>
      <c r="G297" s="79"/>
      <c r="H297" s="79"/>
      <c r="I297" s="79"/>
      <c r="J297" s="79"/>
      <c r="K297" s="80"/>
    </row>
    <row r="298" spans="1:11" ht="14.25" customHeight="1" x14ac:dyDescent="0.3">
      <c r="A298" s="57" t="str">
        <f>IF(B298&lt;&gt;"", COUNTA($B$23:B298), "")</f>
        <v/>
      </c>
      <c r="B298" s="77"/>
      <c r="C298" s="78"/>
      <c r="D298" s="61"/>
      <c r="E298" s="61"/>
      <c r="F298" s="79"/>
      <c r="G298" s="79"/>
      <c r="H298" s="79"/>
      <c r="I298" s="79"/>
      <c r="J298" s="79"/>
      <c r="K298" s="80"/>
    </row>
    <row r="299" spans="1:11" ht="14.25" customHeight="1" x14ac:dyDescent="0.3">
      <c r="A299" s="57" t="str">
        <f>IF(B299&lt;&gt;"", COUNTA($B$23:B299), "")</f>
        <v/>
      </c>
      <c r="B299" s="77"/>
      <c r="C299" s="78"/>
      <c r="D299" s="61"/>
      <c r="E299" s="61"/>
      <c r="F299" s="79"/>
      <c r="G299" s="79"/>
      <c r="H299" s="79"/>
      <c r="I299" s="79"/>
      <c r="J299" s="79"/>
      <c r="K299" s="80"/>
    </row>
    <row r="300" spans="1:11" ht="14.25" customHeight="1" x14ac:dyDescent="0.3">
      <c r="A300" s="57" t="str">
        <f>IF(B300&lt;&gt;"", COUNTA($B$23:B300), "")</f>
        <v/>
      </c>
      <c r="B300" s="77"/>
      <c r="C300" s="78"/>
      <c r="D300" s="61"/>
      <c r="E300" s="61"/>
      <c r="F300" s="79"/>
      <c r="G300" s="79"/>
      <c r="H300" s="79"/>
      <c r="I300" s="79"/>
      <c r="J300" s="79"/>
      <c r="K300" s="80"/>
    </row>
    <row r="301" spans="1:11" ht="14.25" customHeight="1" x14ac:dyDescent="0.3">
      <c r="A301" s="57" t="str">
        <f>IF(B301&lt;&gt;"", COUNTA($B$23:B301), "")</f>
        <v/>
      </c>
      <c r="B301" s="77"/>
      <c r="C301" s="78"/>
      <c r="D301" s="61"/>
      <c r="E301" s="61"/>
      <c r="F301" s="79"/>
      <c r="G301" s="79"/>
      <c r="H301" s="79"/>
      <c r="I301" s="79"/>
      <c r="J301" s="79"/>
      <c r="K301" s="80"/>
    </row>
    <row r="302" spans="1:11" ht="14.25" customHeight="1" x14ac:dyDescent="0.3">
      <c r="A302" s="57" t="str">
        <f>IF(B302&lt;&gt;"", COUNTA($B$23:B302), "")</f>
        <v/>
      </c>
      <c r="B302" s="77"/>
      <c r="C302" s="78"/>
      <c r="D302" s="61"/>
      <c r="E302" s="61"/>
      <c r="F302" s="79"/>
      <c r="G302" s="79"/>
      <c r="H302" s="79"/>
      <c r="I302" s="79"/>
      <c r="J302" s="79"/>
      <c r="K302" s="80"/>
    </row>
    <row r="303" spans="1:11" ht="14.25" customHeight="1" x14ac:dyDescent="0.3">
      <c r="A303" s="57" t="str">
        <f>IF(B303&lt;&gt;"", COUNTA($B$23:B303), "")</f>
        <v/>
      </c>
      <c r="B303" s="77"/>
      <c r="C303" s="78"/>
      <c r="D303" s="61"/>
      <c r="E303" s="61"/>
      <c r="F303" s="79"/>
      <c r="G303" s="79"/>
      <c r="H303" s="79"/>
      <c r="I303" s="79"/>
      <c r="J303" s="79"/>
      <c r="K303" s="80"/>
    </row>
    <row r="304" spans="1:11" ht="14.25" customHeight="1" x14ac:dyDescent="0.3">
      <c r="A304" s="57" t="str">
        <f>IF(B304&lt;&gt;"", COUNTA($B$23:B304), "")</f>
        <v/>
      </c>
      <c r="B304" s="77"/>
      <c r="C304" s="78"/>
      <c r="D304" s="61"/>
      <c r="E304" s="61"/>
      <c r="F304" s="79"/>
      <c r="G304" s="79"/>
      <c r="H304" s="79"/>
      <c r="I304" s="79"/>
      <c r="J304" s="79"/>
      <c r="K304" s="80"/>
    </row>
    <row r="305" spans="1:11" ht="14.25" customHeight="1" x14ac:dyDescent="0.3">
      <c r="A305" s="57" t="str">
        <f>IF(B305&lt;&gt;"", COUNTA($B$23:B305), "")</f>
        <v/>
      </c>
      <c r="B305" s="77"/>
      <c r="C305" s="78"/>
      <c r="D305" s="61"/>
      <c r="E305" s="61"/>
      <c r="F305" s="79"/>
      <c r="G305" s="79"/>
      <c r="H305" s="79"/>
      <c r="I305" s="79"/>
      <c r="J305" s="79"/>
      <c r="K305" s="80"/>
    </row>
    <row r="306" spans="1:11" ht="14.25" customHeight="1" x14ac:dyDescent="0.3">
      <c r="A306" s="57" t="str">
        <f>IF(B306&lt;&gt;"", COUNTA($B$23:B306), "")</f>
        <v/>
      </c>
      <c r="B306" s="77"/>
      <c r="C306" s="78"/>
      <c r="D306" s="61"/>
      <c r="E306" s="61"/>
      <c r="F306" s="79"/>
      <c r="G306" s="79"/>
      <c r="H306" s="79"/>
      <c r="I306" s="79"/>
      <c r="J306" s="79"/>
      <c r="K306" s="80"/>
    </row>
    <row r="307" spans="1:11" ht="14.25" customHeight="1" x14ac:dyDescent="0.3">
      <c r="A307" s="57" t="str">
        <f>IF(B307&lt;&gt;"", COUNTA($B$23:B307), "")</f>
        <v/>
      </c>
      <c r="B307" s="77"/>
      <c r="C307" s="78"/>
      <c r="D307" s="61"/>
      <c r="E307" s="61"/>
      <c r="F307" s="79"/>
      <c r="G307" s="79"/>
      <c r="H307" s="79"/>
      <c r="I307" s="79"/>
      <c r="J307" s="79"/>
      <c r="K307" s="80"/>
    </row>
    <row r="308" spans="1:11" ht="14.25" customHeight="1" x14ac:dyDescent="0.3">
      <c r="A308" s="57" t="str">
        <f>IF(B308&lt;&gt;"", COUNTA($B$23:B308), "")</f>
        <v/>
      </c>
      <c r="B308" s="77"/>
      <c r="C308" s="78"/>
      <c r="D308" s="61"/>
      <c r="E308" s="61"/>
      <c r="F308" s="79"/>
      <c r="G308" s="79"/>
      <c r="H308" s="79"/>
      <c r="I308" s="79"/>
      <c r="J308" s="79"/>
      <c r="K308" s="80"/>
    </row>
    <row r="309" spans="1:11" ht="14.25" customHeight="1" x14ac:dyDescent="0.3">
      <c r="A309" s="57" t="str">
        <f>IF(B309&lt;&gt;"", COUNTA($B$23:B309), "")</f>
        <v/>
      </c>
      <c r="B309" s="77"/>
      <c r="C309" s="78"/>
      <c r="D309" s="61"/>
      <c r="E309" s="61"/>
      <c r="F309" s="79"/>
      <c r="G309" s="79"/>
      <c r="H309" s="79"/>
      <c r="I309" s="79"/>
      <c r="J309" s="79"/>
      <c r="K309" s="80"/>
    </row>
    <row r="310" spans="1:11" ht="14.25" customHeight="1" x14ac:dyDescent="0.3">
      <c r="A310" s="57" t="str">
        <f>IF(B310&lt;&gt;"", COUNTA($B$23:B310), "")</f>
        <v/>
      </c>
      <c r="B310" s="77"/>
      <c r="C310" s="78"/>
      <c r="D310" s="61"/>
      <c r="E310" s="61"/>
      <c r="F310" s="79"/>
      <c r="G310" s="79"/>
      <c r="H310" s="79"/>
      <c r="I310" s="79"/>
      <c r="J310" s="79"/>
      <c r="K310" s="80"/>
    </row>
    <row r="311" spans="1:11" ht="14.25" customHeight="1" x14ac:dyDescent="0.3">
      <c r="A311" s="57" t="str">
        <f>IF(B311&lt;&gt;"", COUNTA($B$23:B311), "")</f>
        <v/>
      </c>
      <c r="B311" s="77"/>
      <c r="C311" s="78"/>
      <c r="D311" s="61"/>
      <c r="E311" s="61"/>
      <c r="F311" s="79"/>
      <c r="G311" s="79"/>
      <c r="H311" s="79"/>
      <c r="I311" s="79"/>
      <c r="J311" s="79"/>
      <c r="K311" s="80"/>
    </row>
    <row r="312" spans="1:11" ht="14.25" customHeight="1" x14ac:dyDescent="0.3">
      <c r="A312" s="57" t="str">
        <f>IF(B312&lt;&gt;"", COUNTA($B$23:B312), "")</f>
        <v/>
      </c>
      <c r="B312" s="77"/>
      <c r="C312" s="78"/>
      <c r="D312" s="61"/>
      <c r="E312" s="61"/>
      <c r="F312" s="79"/>
      <c r="G312" s="79"/>
      <c r="H312" s="79"/>
      <c r="I312" s="79"/>
      <c r="J312" s="79"/>
      <c r="K312" s="80"/>
    </row>
    <row r="313" spans="1:11" ht="14.25" customHeight="1" x14ac:dyDescent="0.3">
      <c r="A313" s="57" t="str">
        <f>IF(B313&lt;&gt;"", COUNTA($B$23:B313), "")</f>
        <v/>
      </c>
      <c r="B313" s="77"/>
      <c r="C313" s="78"/>
      <c r="D313" s="61"/>
      <c r="E313" s="61"/>
      <c r="F313" s="79"/>
      <c r="G313" s="79"/>
      <c r="H313" s="79"/>
      <c r="I313" s="79"/>
      <c r="J313" s="79"/>
      <c r="K313" s="80"/>
    </row>
    <row r="314" spans="1:11" ht="14.25" customHeight="1" x14ac:dyDescent="0.3">
      <c r="A314" s="57" t="str">
        <f>IF(B314&lt;&gt;"", COUNTA($B$23:B314), "")</f>
        <v/>
      </c>
      <c r="B314" s="77"/>
      <c r="C314" s="78"/>
      <c r="D314" s="61"/>
      <c r="E314" s="61"/>
      <c r="F314" s="79"/>
      <c r="G314" s="79"/>
      <c r="H314" s="79"/>
      <c r="I314" s="79"/>
      <c r="J314" s="79"/>
      <c r="K314" s="80"/>
    </row>
    <row r="315" spans="1:11" ht="14.25" customHeight="1" x14ac:dyDescent="0.3">
      <c r="A315" s="57" t="str">
        <f>IF(B315&lt;&gt;"", COUNTA($B$23:B315), "")</f>
        <v/>
      </c>
      <c r="B315" s="77"/>
      <c r="C315" s="78"/>
      <c r="D315" s="61"/>
      <c r="E315" s="61"/>
      <c r="F315" s="79"/>
      <c r="G315" s="79"/>
      <c r="H315" s="79"/>
      <c r="I315" s="79"/>
      <c r="J315" s="79"/>
      <c r="K315" s="80"/>
    </row>
    <row r="316" spans="1:11" ht="14.25" customHeight="1" x14ac:dyDescent="0.3">
      <c r="A316" s="57" t="str">
        <f>IF(B316&lt;&gt;"", COUNTA($B$23:B316), "")</f>
        <v/>
      </c>
      <c r="B316" s="77"/>
      <c r="C316" s="78"/>
      <c r="D316" s="61"/>
      <c r="E316" s="61"/>
      <c r="F316" s="79"/>
      <c r="G316" s="79"/>
      <c r="H316" s="79"/>
      <c r="I316" s="79"/>
      <c r="J316" s="79"/>
      <c r="K316" s="80"/>
    </row>
    <row r="317" spans="1:11" ht="14.25" customHeight="1" x14ac:dyDescent="0.3">
      <c r="A317" s="57" t="str">
        <f>IF(B317&lt;&gt;"", COUNTA($B$23:B317), "")</f>
        <v/>
      </c>
      <c r="B317" s="77"/>
      <c r="C317" s="78"/>
      <c r="D317" s="61"/>
      <c r="E317" s="61"/>
      <c r="F317" s="79"/>
      <c r="G317" s="79"/>
      <c r="H317" s="79"/>
      <c r="I317" s="79"/>
      <c r="J317" s="79"/>
      <c r="K317" s="80"/>
    </row>
    <row r="318" spans="1:11" ht="14.25" customHeight="1" x14ac:dyDescent="0.3">
      <c r="A318" s="57" t="str">
        <f>IF(B318&lt;&gt;"", COUNTA($B$23:B318), "")</f>
        <v/>
      </c>
      <c r="B318" s="77"/>
      <c r="C318" s="78"/>
      <c r="D318" s="61"/>
      <c r="E318" s="61"/>
      <c r="F318" s="79"/>
      <c r="G318" s="79"/>
      <c r="H318" s="79"/>
      <c r="I318" s="79"/>
      <c r="J318" s="79"/>
      <c r="K318" s="80"/>
    </row>
    <row r="319" spans="1:11" ht="14.25" customHeight="1" x14ac:dyDescent="0.3">
      <c r="A319" s="57" t="str">
        <f>IF(B319&lt;&gt;"", COUNTA($B$23:B319), "")</f>
        <v/>
      </c>
      <c r="B319" s="77"/>
      <c r="C319" s="78"/>
      <c r="D319" s="61"/>
      <c r="E319" s="61"/>
      <c r="F319" s="79"/>
      <c r="G319" s="79"/>
      <c r="H319" s="79"/>
      <c r="I319" s="79"/>
      <c r="J319" s="79"/>
      <c r="K319" s="80"/>
    </row>
    <row r="320" spans="1:11" ht="14.25" customHeight="1" x14ac:dyDescent="0.3">
      <c r="A320" s="57" t="str">
        <f>IF(B320&lt;&gt;"", COUNTA($B$23:B320), "")</f>
        <v/>
      </c>
      <c r="B320" s="77"/>
      <c r="C320" s="78"/>
      <c r="D320" s="61"/>
      <c r="E320" s="61"/>
      <c r="F320" s="79"/>
      <c r="G320" s="79"/>
      <c r="H320" s="79"/>
      <c r="I320" s="79"/>
      <c r="J320" s="79"/>
      <c r="K320" s="80"/>
    </row>
    <row r="321" spans="1:11" ht="14.25" customHeight="1" x14ac:dyDescent="0.3">
      <c r="A321" s="57" t="str">
        <f>IF(B321&lt;&gt;"", COUNTA($B$23:B321), "")</f>
        <v/>
      </c>
      <c r="B321" s="77"/>
      <c r="C321" s="78"/>
      <c r="D321" s="61"/>
      <c r="E321" s="61"/>
      <c r="F321" s="79"/>
      <c r="G321" s="79"/>
      <c r="H321" s="79"/>
      <c r="I321" s="79"/>
      <c r="J321" s="79"/>
      <c r="K321" s="80"/>
    </row>
    <row r="322" spans="1:11" ht="14.25" customHeight="1" x14ac:dyDescent="0.3">
      <c r="A322" s="57" t="str">
        <f>IF(B322&lt;&gt;"", COUNTA($B$23:B322), "")</f>
        <v/>
      </c>
      <c r="B322" s="77"/>
      <c r="C322" s="78"/>
      <c r="D322" s="61"/>
      <c r="E322" s="61"/>
      <c r="F322" s="79"/>
      <c r="G322" s="79"/>
      <c r="H322" s="79"/>
      <c r="I322" s="79"/>
      <c r="J322" s="79"/>
      <c r="K322" s="80"/>
    </row>
    <row r="323" spans="1:11" ht="14.25" customHeight="1" x14ac:dyDescent="0.3">
      <c r="A323" s="57" t="str">
        <f>IF(B323&lt;&gt;"", COUNTA($B$23:B323), "")</f>
        <v/>
      </c>
      <c r="B323" s="77"/>
      <c r="C323" s="78"/>
      <c r="D323" s="61"/>
      <c r="E323" s="61"/>
      <c r="F323" s="79"/>
      <c r="G323" s="79"/>
      <c r="H323" s="79"/>
      <c r="I323" s="79"/>
      <c r="J323" s="79"/>
      <c r="K323" s="80"/>
    </row>
    <row r="324" spans="1:11" ht="14.25" customHeight="1" x14ac:dyDescent="0.25">
      <c r="A324" s="82"/>
      <c r="B324" s="82"/>
      <c r="C324" s="82"/>
      <c r="D324" s="82"/>
      <c r="E324" s="82"/>
      <c r="F324" s="82"/>
      <c r="G324" s="82"/>
      <c r="H324" s="82"/>
      <c r="I324" s="82"/>
      <c r="J324" s="82"/>
      <c r="K324" s="82"/>
    </row>
    <row r="325" spans="1:11" ht="14.25" customHeight="1" x14ac:dyDescent="0.25">
      <c r="A325" s="82"/>
      <c r="B325" s="82"/>
      <c r="C325" s="82"/>
      <c r="D325" s="82"/>
      <c r="E325" s="82"/>
      <c r="F325" s="82"/>
      <c r="G325" s="82"/>
      <c r="H325" s="82"/>
      <c r="I325" s="82"/>
      <c r="J325" s="82"/>
      <c r="K325" s="82"/>
    </row>
    <row r="326" spans="1:11" ht="14.25" customHeight="1" x14ac:dyDescent="0.25">
      <c r="A326" s="82"/>
      <c r="B326" s="82"/>
      <c r="C326" s="82"/>
      <c r="D326" s="82"/>
      <c r="E326" s="82"/>
      <c r="F326" s="82"/>
      <c r="G326" s="82"/>
      <c r="H326" s="82"/>
      <c r="I326" s="82"/>
      <c r="J326" s="82"/>
      <c r="K326" s="82"/>
    </row>
    <row r="327" spans="1:11" ht="14.25" customHeight="1" x14ac:dyDescent="0.25">
      <c r="A327" s="82"/>
      <c r="B327" s="82"/>
      <c r="C327" s="82"/>
      <c r="D327" s="82"/>
      <c r="E327" s="82"/>
      <c r="F327" s="82"/>
      <c r="G327" s="82"/>
      <c r="H327" s="82"/>
      <c r="I327" s="82"/>
      <c r="J327" s="82"/>
      <c r="K327" s="82"/>
    </row>
    <row r="328" spans="1:11" ht="14.25" customHeight="1" x14ac:dyDescent="0.25">
      <c r="A328" s="82"/>
      <c r="B328" s="82"/>
      <c r="C328" s="82"/>
      <c r="D328" s="82"/>
      <c r="E328" s="82"/>
      <c r="F328" s="82"/>
      <c r="G328" s="82"/>
      <c r="H328" s="82"/>
      <c r="I328" s="82"/>
      <c r="J328" s="82"/>
      <c r="K328" s="82"/>
    </row>
    <row r="329" spans="1:11" ht="14.25" customHeight="1" x14ac:dyDescent="0.25">
      <c r="A329" s="82"/>
      <c r="B329" s="82"/>
      <c r="C329" s="82"/>
      <c r="D329" s="82"/>
      <c r="E329" s="82"/>
      <c r="F329" s="82"/>
      <c r="G329" s="82"/>
      <c r="H329" s="82"/>
      <c r="I329" s="82"/>
      <c r="J329" s="82"/>
      <c r="K329" s="82"/>
    </row>
    <row r="330" spans="1:11" ht="14.25" customHeight="1" x14ac:dyDescent="0.25">
      <c r="A330" s="82"/>
      <c r="B330" s="82"/>
      <c r="C330" s="82"/>
      <c r="D330" s="82"/>
      <c r="E330" s="82"/>
      <c r="F330" s="82"/>
      <c r="G330" s="82"/>
      <c r="H330" s="82"/>
      <c r="I330" s="82"/>
      <c r="J330" s="82"/>
      <c r="K330" s="82"/>
    </row>
    <row r="331" spans="1:11" ht="14.25" customHeight="1" x14ac:dyDescent="0.25">
      <c r="A331" s="82"/>
      <c r="B331" s="82"/>
      <c r="C331" s="82"/>
      <c r="D331" s="82"/>
      <c r="E331" s="82"/>
      <c r="F331" s="82"/>
      <c r="G331" s="82"/>
      <c r="H331" s="82"/>
      <c r="I331" s="82"/>
      <c r="J331" s="82"/>
      <c r="K331" s="82"/>
    </row>
    <row r="332" spans="1:11" ht="14.25" customHeight="1" x14ac:dyDescent="0.25">
      <c r="A332" s="82"/>
      <c r="B332" s="82"/>
      <c r="C332" s="82"/>
      <c r="D332" s="82"/>
      <c r="E332" s="82"/>
      <c r="F332" s="82"/>
      <c r="G332" s="82"/>
      <c r="H332" s="82"/>
      <c r="I332" s="82"/>
      <c r="J332" s="82"/>
      <c r="K332" s="82"/>
    </row>
    <row r="333" spans="1:11" ht="14.25" customHeight="1" x14ac:dyDescent="0.25">
      <c r="A333" s="82"/>
      <c r="B333" s="82"/>
      <c r="C333" s="82"/>
      <c r="D333" s="82"/>
      <c r="E333" s="82"/>
      <c r="F333" s="82"/>
      <c r="G333" s="82"/>
      <c r="H333" s="82"/>
      <c r="I333" s="82"/>
      <c r="J333" s="82"/>
      <c r="K333" s="82"/>
    </row>
    <row r="334" spans="1:11" ht="14.25" customHeight="1" x14ac:dyDescent="0.25">
      <c r="A334" s="82"/>
      <c r="B334" s="82"/>
      <c r="C334" s="82"/>
      <c r="D334" s="82"/>
      <c r="E334" s="82"/>
      <c r="F334" s="82"/>
      <c r="G334" s="82"/>
      <c r="H334" s="82"/>
      <c r="I334" s="82"/>
      <c r="J334" s="82"/>
      <c r="K334" s="82"/>
    </row>
    <row r="335" spans="1:11" ht="14.25" customHeight="1" x14ac:dyDescent="0.25">
      <c r="A335" s="82"/>
      <c r="B335" s="82"/>
      <c r="C335" s="82"/>
      <c r="D335" s="82"/>
      <c r="E335" s="82"/>
      <c r="F335" s="82"/>
      <c r="G335" s="82"/>
      <c r="H335" s="82"/>
      <c r="I335" s="82"/>
      <c r="J335" s="82"/>
      <c r="K335" s="82"/>
    </row>
    <row r="336" spans="1:11" ht="14.25" customHeight="1" x14ac:dyDescent="0.25">
      <c r="A336" s="82"/>
      <c r="B336" s="82"/>
      <c r="C336" s="82"/>
      <c r="D336" s="82"/>
      <c r="E336" s="82"/>
      <c r="F336" s="82"/>
      <c r="G336" s="82"/>
      <c r="H336" s="82"/>
      <c r="I336" s="82"/>
      <c r="J336" s="82"/>
      <c r="K336" s="82"/>
    </row>
    <row r="337" spans="1:11" ht="14.25" customHeight="1" x14ac:dyDescent="0.25">
      <c r="A337" s="82"/>
      <c r="B337" s="82"/>
      <c r="C337" s="82"/>
      <c r="D337" s="82"/>
      <c r="E337" s="82"/>
      <c r="F337" s="82"/>
      <c r="G337" s="82"/>
      <c r="H337" s="82"/>
      <c r="I337" s="82"/>
      <c r="J337" s="82"/>
      <c r="K337" s="82"/>
    </row>
    <row r="338" spans="1:11" ht="14.25" customHeight="1" x14ac:dyDescent="0.25">
      <c r="A338" s="82"/>
      <c r="B338" s="82"/>
      <c r="C338" s="82"/>
      <c r="D338" s="82"/>
      <c r="E338" s="82"/>
      <c r="F338" s="82"/>
      <c r="G338" s="82"/>
      <c r="H338" s="82"/>
      <c r="I338" s="82"/>
      <c r="J338" s="82"/>
      <c r="K338" s="82"/>
    </row>
    <row r="339" spans="1:11" ht="14.25" customHeight="1" x14ac:dyDescent="0.25">
      <c r="A339" s="82"/>
      <c r="B339" s="82"/>
      <c r="C339" s="82"/>
      <c r="D339" s="82"/>
      <c r="E339" s="82"/>
      <c r="F339" s="82"/>
      <c r="G339" s="82"/>
      <c r="H339" s="82"/>
      <c r="I339" s="82"/>
      <c r="J339" s="82"/>
      <c r="K339" s="82"/>
    </row>
    <row r="340" spans="1:11" ht="14.25" customHeight="1" x14ac:dyDescent="0.25">
      <c r="A340" s="82"/>
      <c r="B340" s="82"/>
      <c r="C340" s="82"/>
      <c r="D340" s="82"/>
      <c r="E340" s="82"/>
      <c r="F340" s="82"/>
      <c r="G340" s="82"/>
      <c r="H340" s="82"/>
      <c r="I340" s="82"/>
      <c r="J340" s="82"/>
      <c r="K340" s="82"/>
    </row>
    <row r="341" spans="1:11" ht="14.25" customHeight="1" x14ac:dyDescent="0.25">
      <c r="A341" s="82"/>
      <c r="B341" s="82"/>
      <c r="C341" s="82"/>
      <c r="D341" s="82"/>
      <c r="E341" s="82"/>
      <c r="F341" s="82"/>
      <c r="G341" s="82"/>
      <c r="H341" s="82"/>
      <c r="I341" s="82"/>
      <c r="J341" s="82"/>
      <c r="K341" s="82"/>
    </row>
    <row r="342" spans="1:11" ht="14.25" customHeight="1" x14ac:dyDescent="0.25">
      <c r="A342" s="82"/>
      <c r="B342" s="82"/>
      <c r="C342" s="82"/>
      <c r="D342" s="82"/>
      <c r="E342" s="82"/>
      <c r="F342" s="82"/>
      <c r="G342" s="82"/>
      <c r="H342" s="82"/>
      <c r="I342" s="82"/>
      <c r="J342" s="82"/>
      <c r="K342" s="82"/>
    </row>
    <row r="343" spans="1:11" ht="14.25" customHeight="1" x14ac:dyDescent="0.25">
      <c r="A343" s="82"/>
      <c r="B343" s="82"/>
      <c r="C343" s="82"/>
      <c r="D343" s="82"/>
      <c r="E343" s="82"/>
      <c r="F343" s="82"/>
      <c r="G343" s="82"/>
      <c r="H343" s="82"/>
      <c r="I343" s="82"/>
      <c r="J343" s="82"/>
      <c r="K343" s="82"/>
    </row>
    <row r="344" spans="1:11" ht="14.25" customHeight="1" x14ac:dyDescent="0.25">
      <c r="A344" s="82"/>
      <c r="B344" s="82"/>
      <c r="C344" s="82"/>
      <c r="D344" s="82"/>
      <c r="E344" s="82"/>
      <c r="F344" s="82"/>
      <c r="G344" s="82"/>
      <c r="H344" s="82"/>
      <c r="I344" s="82"/>
      <c r="J344" s="82"/>
      <c r="K344" s="82"/>
    </row>
    <row r="345" spans="1:11" ht="14.25" customHeight="1" x14ac:dyDescent="0.25">
      <c r="A345" s="82"/>
      <c r="B345" s="82"/>
      <c r="C345" s="82"/>
      <c r="D345" s="82"/>
      <c r="E345" s="82"/>
      <c r="F345" s="82"/>
      <c r="G345" s="82"/>
      <c r="H345" s="82"/>
      <c r="I345" s="82"/>
      <c r="J345" s="82"/>
      <c r="K345" s="82"/>
    </row>
    <row r="346" spans="1:11" ht="14.25" customHeight="1" x14ac:dyDescent="0.25">
      <c r="A346" s="82"/>
      <c r="B346" s="82"/>
      <c r="C346" s="82"/>
      <c r="D346" s="82"/>
      <c r="E346" s="82"/>
      <c r="F346" s="82"/>
      <c r="G346" s="82"/>
      <c r="H346" s="82"/>
      <c r="I346" s="82"/>
      <c r="J346" s="82"/>
      <c r="K346" s="82"/>
    </row>
    <row r="347" spans="1:11" ht="14.25" customHeight="1" x14ac:dyDescent="0.25">
      <c r="A347" s="82"/>
      <c r="B347" s="82"/>
      <c r="C347" s="82"/>
      <c r="D347" s="82"/>
      <c r="E347" s="82"/>
      <c r="F347" s="82"/>
      <c r="G347" s="82"/>
      <c r="H347" s="82"/>
      <c r="I347" s="82"/>
      <c r="J347" s="82"/>
      <c r="K347" s="82"/>
    </row>
    <row r="348" spans="1:11" ht="14.25" customHeight="1" x14ac:dyDescent="0.25">
      <c r="A348" s="82"/>
      <c r="B348" s="82"/>
      <c r="C348" s="82"/>
      <c r="D348" s="82"/>
      <c r="E348" s="82"/>
      <c r="F348" s="82"/>
      <c r="G348" s="82"/>
      <c r="H348" s="82"/>
      <c r="I348" s="82"/>
      <c r="J348" s="82"/>
      <c r="K348" s="82"/>
    </row>
    <row r="349" spans="1:11" ht="14.25" customHeight="1" x14ac:dyDescent="0.25">
      <c r="A349" s="82"/>
      <c r="B349" s="82"/>
      <c r="C349" s="82"/>
      <c r="D349" s="82"/>
      <c r="E349" s="82"/>
      <c r="F349" s="82"/>
      <c r="G349" s="82"/>
      <c r="H349" s="82"/>
      <c r="I349" s="82"/>
      <c r="J349" s="82"/>
      <c r="K349" s="82"/>
    </row>
    <row r="350" spans="1:11" ht="14.25" customHeight="1" x14ac:dyDescent="0.25">
      <c r="A350" s="82"/>
      <c r="B350" s="82"/>
      <c r="C350" s="82"/>
      <c r="D350" s="82"/>
      <c r="E350" s="82"/>
      <c r="F350" s="82"/>
      <c r="G350" s="82"/>
      <c r="H350" s="82"/>
      <c r="I350" s="82"/>
      <c r="J350" s="82"/>
      <c r="K350" s="82"/>
    </row>
    <row r="351" spans="1:11" ht="14.25" customHeight="1" x14ac:dyDescent="0.25">
      <c r="A351" s="82"/>
      <c r="B351" s="82"/>
      <c r="C351" s="82"/>
      <c r="D351" s="82"/>
      <c r="E351" s="82"/>
      <c r="F351" s="82"/>
      <c r="G351" s="82"/>
      <c r="H351" s="82"/>
      <c r="I351" s="82"/>
      <c r="J351" s="82"/>
      <c r="K351" s="82"/>
    </row>
    <row r="352" spans="1:11" ht="14.25" customHeight="1" x14ac:dyDescent="0.25">
      <c r="A352" s="82"/>
      <c r="B352" s="82"/>
      <c r="C352" s="82"/>
      <c r="D352" s="82"/>
      <c r="E352" s="82"/>
      <c r="F352" s="82"/>
      <c r="G352" s="82"/>
      <c r="H352" s="82"/>
      <c r="I352" s="82"/>
      <c r="J352" s="82"/>
      <c r="K352" s="82"/>
    </row>
    <row r="353" spans="1:11" ht="14.25" customHeight="1" x14ac:dyDescent="0.25">
      <c r="A353" s="82"/>
      <c r="B353" s="82"/>
      <c r="C353" s="82"/>
      <c r="D353" s="82"/>
      <c r="E353" s="82"/>
      <c r="F353" s="82"/>
      <c r="G353" s="82"/>
      <c r="H353" s="82"/>
      <c r="I353" s="82"/>
      <c r="J353" s="82"/>
      <c r="K353" s="82"/>
    </row>
    <row r="354" spans="1:11" ht="14.25" customHeight="1" x14ac:dyDescent="0.25">
      <c r="A354" s="82"/>
      <c r="B354" s="82"/>
      <c r="C354" s="82"/>
      <c r="D354" s="82"/>
      <c r="E354" s="82"/>
      <c r="F354" s="82"/>
      <c r="G354" s="82"/>
      <c r="H354" s="82"/>
      <c r="I354" s="82"/>
      <c r="J354" s="82"/>
      <c r="K354" s="82"/>
    </row>
    <row r="355" spans="1:11" ht="14.25" customHeight="1" x14ac:dyDescent="0.25">
      <c r="A355" s="82"/>
      <c r="B355" s="82"/>
      <c r="C355" s="82"/>
      <c r="D355" s="82"/>
      <c r="E355" s="82"/>
      <c r="F355" s="82"/>
      <c r="G355" s="82"/>
      <c r="H355" s="82"/>
      <c r="I355" s="82"/>
      <c r="J355" s="82"/>
      <c r="K355" s="82"/>
    </row>
    <row r="356" spans="1:11" ht="14.25" customHeight="1" x14ac:dyDescent="0.25">
      <c r="A356" s="82"/>
      <c r="B356" s="82"/>
      <c r="C356" s="82"/>
      <c r="D356" s="82"/>
      <c r="E356" s="82"/>
      <c r="F356" s="82"/>
      <c r="G356" s="82"/>
      <c r="H356" s="82"/>
      <c r="I356" s="82"/>
      <c r="J356" s="82"/>
      <c r="K356" s="82"/>
    </row>
    <row r="357" spans="1:11" ht="14.25" customHeight="1" x14ac:dyDescent="0.25">
      <c r="A357" s="82"/>
      <c r="B357" s="82"/>
      <c r="C357" s="82"/>
      <c r="D357" s="82"/>
      <c r="E357" s="82"/>
      <c r="F357" s="82"/>
      <c r="G357" s="82"/>
      <c r="H357" s="82"/>
      <c r="I357" s="82"/>
      <c r="J357" s="82"/>
      <c r="K357" s="82"/>
    </row>
    <row r="358" spans="1:11" ht="14.25" customHeight="1" x14ac:dyDescent="0.25">
      <c r="A358" s="82"/>
      <c r="B358" s="82"/>
      <c r="C358" s="82"/>
      <c r="D358" s="82"/>
      <c r="E358" s="82"/>
      <c r="F358" s="82"/>
      <c r="G358" s="82"/>
      <c r="H358" s="82"/>
      <c r="I358" s="82"/>
      <c r="J358" s="82"/>
      <c r="K358" s="82"/>
    </row>
    <row r="359" spans="1:11" ht="14.25" customHeight="1" x14ac:dyDescent="0.25">
      <c r="A359" s="82"/>
      <c r="B359" s="82"/>
      <c r="C359" s="82"/>
      <c r="D359" s="82"/>
      <c r="E359" s="82"/>
      <c r="F359" s="82"/>
      <c r="G359" s="82"/>
      <c r="H359" s="82"/>
      <c r="I359" s="82"/>
      <c r="J359" s="82"/>
      <c r="K359" s="82"/>
    </row>
    <row r="360" spans="1:11" ht="14.25" customHeight="1" x14ac:dyDescent="0.25">
      <c r="A360" s="82"/>
      <c r="B360" s="82"/>
      <c r="C360" s="82"/>
      <c r="D360" s="82"/>
      <c r="E360" s="82"/>
      <c r="F360" s="82"/>
      <c r="G360" s="82"/>
      <c r="H360" s="82"/>
      <c r="I360" s="82"/>
      <c r="J360" s="82"/>
      <c r="K360" s="82"/>
    </row>
    <row r="361" spans="1:11" ht="14.25" customHeight="1" x14ac:dyDescent="0.25">
      <c r="A361" s="82"/>
      <c r="B361" s="82"/>
      <c r="C361" s="82"/>
      <c r="D361" s="82"/>
      <c r="E361" s="82"/>
      <c r="F361" s="82"/>
      <c r="G361" s="82"/>
      <c r="H361" s="82"/>
      <c r="I361" s="82"/>
      <c r="J361" s="82"/>
      <c r="K361" s="82"/>
    </row>
    <row r="362" spans="1:11" ht="14.25" customHeight="1" x14ac:dyDescent="0.25">
      <c r="A362" s="82"/>
      <c r="B362" s="82"/>
      <c r="C362" s="82"/>
      <c r="D362" s="82"/>
      <c r="E362" s="82"/>
      <c r="F362" s="82"/>
      <c r="G362" s="82"/>
      <c r="H362" s="82"/>
      <c r="I362" s="82"/>
      <c r="J362" s="82"/>
      <c r="K362" s="82"/>
    </row>
    <row r="363" spans="1:11" ht="14.25" customHeight="1" x14ac:dyDescent="0.25">
      <c r="A363" s="82"/>
      <c r="B363" s="82"/>
      <c r="C363" s="82"/>
      <c r="D363" s="82"/>
      <c r="E363" s="82"/>
      <c r="F363" s="82"/>
      <c r="G363" s="82"/>
      <c r="H363" s="82"/>
      <c r="I363" s="82"/>
      <c r="J363" s="82"/>
      <c r="K363" s="82"/>
    </row>
    <row r="364" spans="1:11" ht="14.25" customHeight="1" x14ac:dyDescent="0.25">
      <c r="A364" s="82"/>
      <c r="B364" s="82"/>
      <c r="C364" s="82"/>
      <c r="D364" s="82"/>
      <c r="E364" s="82"/>
      <c r="F364" s="82"/>
      <c r="G364" s="82"/>
      <c r="H364" s="82"/>
      <c r="I364" s="82"/>
      <c r="J364" s="82"/>
      <c r="K364" s="82"/>
    </row>
    <row r="365" spans="1:11" ht="14.25" customHeight="1" x14ac:dyDescent="0.25">
      <c r="A365" s="82"/>
      <c r="B365" s="82"/>
      <c r="C365" s="82"/>
      <c r="D365" s="82"/>
      <c r="E365" s="82"/>
      <c r="F365" s="82"/>
      <c r="G365" s="82"/>
      <c r="H365" s="82"/>
      <c r="I365" s="82"/>
      <c r="J365" s="82"/>
      <c r="K365" s="82"/>
    </row>
    <row r="366" spans="1:11" ht="14.25" customHeight="1" x14ac:dyDescent="0.25">
      <c r="A366" s="82"/>
      <c r="B366" s="82"/>
      <c r="C366" s="82"/>
      <c r="D366" s="82"/>
      <c r="E366" s="82"/>
      <c r="F366" s="82"/>
      <c r="G366" s="82"/>
      <c r="H366" s="82"/>
      <c r="I366" s="82"/>
      <c r="J366" s="82"/>
      <c r="K366" s="82"/>
    </row>
    <row r="367" spans="1:11" ht="14.25" customHeight="1" x14ac:dyDescent="0.25">
      <c r="A367" s="82"/>
      <c r="B367" s="82"/>
      <c r="C367" s="82"/>
      <c r="D367" s="82"/>
      <c r="E367" s="82"/>
      <c r="F367" s="82"/>
      <c r="G367" s="82"/>
      <c r="H367" s="82"/>
      <c r="I367" s="82"/>
      <c r="J367" s="82"/>
      <c r="K367" s="82"/>
    </row>
    <row r="368" spans="1:11" ht="14.25" customHeight="1" x14ac:dyDescent="0.25">
      <c r="A368" s="82"/>
      <c r="B368" s="82"/>
      <c r="C368" s="82"/>
      <c r="D368" s="82"/>
      <c r="E368" s="82"/>
      <c r="F368" s="82"/>
      <c r="G368" s="82"/>
      <c r="H368" s="82"/>
      <c r="I368" s="82"/>
      <c r="J368" s="82"/>
      <c r="K368" s="82"/>
    </row>
    <row r="369" spans="1:11" ht="14.25" customHeight="1" x14ac:dyDescent="0.25">
      <c r="A369" s="82"/>
      <c r="B369" s="82"/>
      <c r="C369" s="82"/>
      <c r="D369" s="82"/>
      <c r="E369" s="82"/>
      <c r="F369" s="82"/>
      <c r="G369" s="82"/>
      <c r="H369" s="82"/>
      <c r="I369" s="82"/>
      <c r="J369" s="82"/>
      <c r="K369" s="82"/>
    </row>
    <row r="370" spans="1:11" ht="14.25" customHeight="1" x14ac:dyDescent="0.25">
      <c r="A370" s="82"/>
      <c r="B370" s="82"/>
      <c r="C370" s="82"/>
      <c r="D370" s="82"/>
      <c r="E370" s="82"/>
      <c r="F370" s="82"/>
      <c r="G370" s="82"/>
      <c r="H370" s="82"/>
      <c r="I370" s="82"/>
      <c r="J370" s="82"/>
      <c r="K370" s="82"/>
    </row>
    <row r="371" spans="1:11" ht="14.25" customHeight="1" x14ac:dyDescent="0.25">
      <c r="A371" s="82"/>
      <c r="B371" s="82"/>
      <c r="C371" s="82"/>
      <c r="D371" s="82"/>
      <c r="E371" s="82"/>
      <c r="F371" s="82"/>
      <c r="G371" s="82"/>
      <c r="H371" s="82"/>
      <c r="I371" s="82"/>
      <c r="J371" s="82"/>
      <c r="K371" s="82"/>
    </row>
    <row r="372" spans="1:11" ht="14.25" customHeight="1" x14ac:dyDescent="0.25">
      <c r="A372" s="82"/>
      <c r="B372" s="82"/>
      <c r="C372" s="82"/>
      <c r="D372" s="82"/>
      <c r="E372" s="82"/>
      <c r="F372" s="82"/>
      <c r="G372" s="82"/>
      <c r="H372" s="82"/>
      <c r="I372" s="82"/>
      <c r="J372" s="82"/>
      <c r="K372" s="82"/>
    </row>
    <row r="373" spans="1:11" ht="14.25" customHeight="1" x14ac:dyDescent="0.25">
      <c r="A373" s="82"/>
      <c r="B373" s="82"/>
      <c r="C373" s="82"/>
      <c r="D373" s="82"/>
      <c r="E373" s="82"/>
      <c r="F373" s="82"/>
      <c r="G373" s="82"/>
      <c r="H373" s="82"/>
      <c r="I373" s="82"/>
      <c r="J373" s="82"/>
      <c r="K373" s="82"/>
    </row>
    <row r="374" spans="1:11" ht="14.25" customHeight="1" x14ac:dyDescent="0.25">
      <c r="A374" s="82"/>
      <c r="B374" s="82"/>
      <c r="C374" s="82"/>
      <c r="D374" s="82"/>
      <c r="E374" s="82"/>
      <c r="F374" s="82"/>
      <c r="G374" s="82"/>
      <c r="H374" s="82"/>
      <c r="I374" s="82"/>
      <c r="J374" s="82"/>
      <c r="K374" s="82"/>
    </row>
    <row r="375" spans="1:11" ht="14.25" customHeight="1" x14ac:dyDescent="0.25">
      <c r="A375" s="82"/>
      <c r="B375" s="82"/>
      <c r="C375" s="82"/>
      <c r="D375" s="82"/>
      <c r="E375" s="82"/>
      <c r="F375" s="82"/>
      <c r="G375" s="82"/>
      <c r="H375" s="82"/>
      <c r="I375" s="82"/>
      <c r="J375" s="82"/>
      <c r="K375" s="82"/>
    </row>
    <row r="376" spans="1:11" ht="14.25" customHeight="1" x14ac:dyDescent="0.25">
      <c r="A376" s="82"/>
      <c r="B376" s="82"/>
      <c r="C376" s="82"/>
      <c r="D376" s="82"/>
      <c r="E376" s="82"/>
      <c r="F376" s="82"/>
      <c r="G376" s="82"/>
      <c r="H376" s="82"/>
      <c r="I376" s="82"/>
      <c r="J376" s="82"/>
      <c r="K376" s="82"/>
    </row>
    <row r="377" spans="1:11" ht="14.25" customHeight="1" x14ac:dyDescent="0.25">
      <c r="A377" s="82"/>
      <c r="B377" s="82"/>
      <c r="C377" s="82"/>
      <c r="D377" s="82"/>
      <c r="E377" s="82"/>
      <c r="F377" s="82"/>
      <c r="G377" s="82"/>
      <c r="H377" s="82"/>
      <c r="I377" s="82"/>
      <c r="J377" s="82"/>
      <c r="K377" s="82"/>
    </row>
    <row r="378" spans="1:11" ht="14.25" customHeight="1" x14ac:dyDescent="0.25">
      <c r="A378" s="82"/>
      <c r="B378" s="82"/>
      <c r="C378" s="82"/>
      <c r="D378" s="82"/>
      <c r="E378" s="82"/>
      <c r="F378" s="82"/>
      <c r="G378" s="82"/>
      <c r="H378" s="82"/>
      <c r="I378" s="82"/>
      <c r="J378" s="82"/>
      <c r="K378" s="82"/>
    </row>
    <row r="379" spans="1:11" ht="14.25" customHeight="1" x14ac:dyDescent="0.25">
      <c r="A379" s="82"/>
      <c r="B379" s="82"/>
      <c r="C379" s="82"/>
      <c r="D379" s="82"/>
      <c r="E379" s="82"/>
      <c r="F379" s="82"/>
      <c r="G379" s="82"/>
      <c r="H379" s="82"/>
      <c r="I379" s="82"/>
      <c r="J379" s="82"/>
      <c r="K379" s="82"/>
    </row>
    <row r="380" spans="1:11" ht="14.25" customHeight="1" x14ac:dyDescent="0.25">
      <c r="A380" s="82"/>
      <c r="B380" s="82"/>
      <c r="C380" s="82"/>
      <c r="D380" s="82"/>
      <c r="E380" s="82"/>
      <c r="F380" s="82"/>
      <c r="G380" s="82"/>
      <c r="H380" s="82"/>
      <c r="I380" s="82"/>
      <c r="J380" s="82"/>
      <c r="K380" s="82"/>
    </row>
    <row r="381" spans="1:11" ht="14.25" customHeight="1" x14ac:dyDescent="0.25">
      <c r="A381" s="82"/>
      <c r="B381" s="82"/>
      <c r="C381" s="82"/>
      <c r="D381" s="82"/>
      <c r="E381" s="82"/>
      <c r="F381" s="82"/>
      <c r="G381" s="82"/>
      <c r="H381" s="82"/>
      <c r="I381" s="82"/>
      <c r="J381" s="82"/>
      <c r="K381" s="82"/>
    </row>
    <row r="382" spans="1:11" ht="14.25" customHeight="1" x14ac:dyDescent="0.25">
      <c r="A382" s="82"/>
      <c r="B382" s="82"/>
      <c r="C382" s="82"/>
      <c r="D382" s="82"/>
      <c r="E382" s="82"/>
      <c r="F382" s="82"/>
      <c r="G382" s="82"/>
      <c r="H382" s="82"/>
      <c r="I382" s="82"/>
      <c r="J382" s="82"/>
      <c r="K382" s="82"/>
    </row>
    <row r="383" spans="1:11" ht="14.25" customHeight="1" x14ac:dyDescent="0.25">
      <c r="A383" s="82"/>
      <c r="B383" s="82"/>
      <c r="C383" s="82"/>
      <c r="D383" s="82"/>
      <c r="E383" s="82"/>
      <c r="F383" s="82"/>
      <c r="G383" s="82"/>
      <c r="H383" s="82"/>
      <c r="I383" s="82"/>
      <c r="J383" s="82"/>
      <c r="K383" s="82"/>
    </row>
    <row r="384" spans="1:11" ht="14.25" customHeight="1" x14ac:dyDescent="0.25">
      <c r="A384" s="82"/>
      <c r="B384" s="82"/>
      <c r="C384" s="82"/>
      <c r="D384" s="82"/>
      <c r="E384" s="82"/>
      <c r="F384" s="82"/>
      <c r="G384" s="82"/>
      <c r="H384" s="82"/>
      <c r="I384" s="82"/>
      <c r="J384" s="82"/>
      <c r="K384" s="82"/>
    </row>
    <row r="385" spans="1:11" ht="14.25" customHeight="1" x14ac:dyDescent="0.25">
      <c r="A385" s="82"/>
      <c r="B385" s="82"/>
      <c r="C385" s="82"/>
      <c r="D385" s="82"/>
      <c r="E385" s="82"/>
      <c r="F385" s="82"/>
      <c r="G385" s="82"/>
      <c r="H385" s="82"/>
      <c r="I385" s="82"/>
      <c r="J385" s="82"/>
      <c r="K385" s="82"/>
    </row>
    <row r="386" spans="1:11" ht="14.25" customHeight="1" x14ac:dyDescent="0.25">
      <c r="A386" s="82"/>
      <c r="B386" s="82"/>
      <c r="C386" s="82"/>
      <c r="D386" s="82"/>
      <c r="E386" s="82"/>
      <c r="F386" s="82"/>
      <c r="G386" s="82"/>
      <c r="H386" s="82"/>
      <c r="I386" s="82"/>
      <c r="J386" s="82"/>
      <c r="K386" s="82"/>
    </row>
    <row r="387" spans="1:11" ht="14.25" customHeight="1" x14ac:dyDescent="0.25">
      <c r="A387" s="82"/>
      <c r="B387" s="82"/>
      <c r="C387" s="82"/>
      <c r="D387" s="82"/>
      <c r="E387" s="82"/>
      <c r="F387" s="82"/>
      <c r="G387" s="82"/>
      <c r="H387" s="82"/>
      <c r="I387" s="82"/>
      <c r="J387" s="82"/>
      <c r="K387" s="82"/>
    </row>
    <row r="388" spans="1:11" ht="14.25" customHeight="1" x14ac:dyDescent="0.25">
      <c r="A388" s="82"/>
      <c r="B388" s="82"/>
      <c r="C388" s="82"/>
      <c r="D388" s="82"/>
      <c r="E388" s="82"/>
      <c r="F388" s="82"/>
      <c r="G388" s="82"/>
      <c r="H388" s="82"/>
      <c r="I388" s="82"/>
      <c r="J388" s="82"/>
      <c r="K388" s="82"/>
    </row>
    <row r="389" spans="1:11" ht="14.25" customHeight="1" x14ac:dyDescent="0.25">
      <c r="A389" s="82"/>
      <c r="B389" s="82"/>
      <c r="C389" s="82"/>
      <c r="D389" s="82"/>
      <c r="E389" s="82"/>
      <c r="F389" s="82"/>
      <c r="G389" s="82"/>
      <c r="H389" s="82"/>
      <c r="I389" s="82"/>
      <c r="J389" s="82"/>
      <c r="K389" s="82"/>
    </row>
    <row r="390" spans="1:11" ht="14.25" customHeight="1" x14ac:dyDescent="0.25">
      <c r="A390" s="82"/>
      <c r="B390" s="82"/>
      <c r="C390" s="82"/>
      <c r="D390" s="82"/>
      <c r="E390" s="82"/>
      <c r="F390" s="82"/>
      <c r="G390" s="82"/>
      <c r="H390" s="82"/>
      <c r="I390" s="82"/>
      <c r="J390" s="82"/>
      <c r="K390" s="82"/>
    </row>
    <row r="391" spans="1:11" ht="14.25" customHeight="1" x14ac:dyDescent="0.25">
      <c r="A391" s="82"/>
      <c r="B391" s="82"/>
      <c r="C391" s="82"/>
      <c r="D391" s="82"/>
      <c r="E391" s="82"/>
      <c r="F391" s="82"/>
      <c r="G391" s="82"/>
      <c r="H391" s="82"/>
      <c r="I391" s="82"/>
      <c r="J391" s="82"/>
      <c r="K391" s="82"/>
    </row>
    <row r="392" spans="1:11" ht="14.25" customHeight="1" x14ac:dyDescent="0.25">
      <c r="A392" s="82"/>
      <c r="B392" s="82"/>
      <c r="C392" s="82"/>
      <c r="D392" s="82"/>
      <c r="E392" s="82"/>
      <c r="F392" s="82"/>
      <c r="G392" s="82"/>
      <c r="H392" s="82"/>
      <c r="I392" s="82"/>
      <c r="J392" s="82"/>
      <c r="K392" s="82"/>
    </row>
    <row r="393" spans="1:11" ht="14.25" customHeight="1" x14ac:dyDescent="0.25">
      <c r="A393" s="82"/>
      <c r="B393" s="82"/>
      <c r="C393" s="82"/>
      <c r="D393" s="82"/>
      <c r="E393" s="82"/>
      <c r="F393" s="82"/>
      <c r="G393" s="82"/>
      <c r="H393" s="82"/>
      <c r="I393" s="82"/>
      <c r="J393" s="82"/>
      <c r="K393" s="82"/>
    </row>
    <row r="394" spans="1:11" ht="14.25" customHeight="1" x14ac:dyDescent="0.25">
      <c r="A394" s="82"/>
      <c r="B394" s="82"/>
      <c r="C394" s="82"/>
      <c r="D394" s="82"/>
      <c r="E394" s="82"/>
      <c r="F394" s="82"/>
      <c r="G394" s="82"/>
      <c r="H394" s="82"/>
      <c r="I394" s="82"/>
      <c r="J394" s="82"/>
      <c r="K394" s="82"/>
    </row>
    <row r="395" spans="1:11" ht="14.25" customHeight="1" x14ac:dyDescent="0.25">
      <c r="A395" s="82"/>
      <c r="B395" s="82"/>
      <c r="C395" s="82"/>
      <c r="D395" s="82"/>
      <c r="E395" s="82"/>
      <c r="F395" s="82"/>
      <c r="G395" s="82"/>
      <c r="H395" s="82"/>
      <c r="I395" s="82"/>
      <c r="J395" s="82"/>
      <c r="K395" s="82"/>
    </row>
    <row r="396" spans="1:11" ht="14.25" customHeight="1" x14ac:dyDescent="0.25">
      <c r="A396" s="82"/>
      <c r="B396" s="82"/>
      <c r="C396" s="82"/>
      <c r="D396" s="82"/>
      <c r="E396" s="82"/>
      <c r="F396" s="82"/>
      <c r="G396" s="82"/>
      <c r="H396" s="82"/>
      <c r="I396" s="82"/>
      <c r="J396" s="82"/>
      <c r="K396" s="82"/>
    </row>
    <row r="397" spans="1:11" ht="14.25" customHeight="1" x14ac:dyDescent="0.25">
      <c r="A397" s="82"/>
      <c r="B397" s="82"/>
      <c r="C397" s="82"/>
      <c r="D397" s="82"/>
      <c r="E397" s="82"/>
      <c r="F397" s="82"/>
      <c r="G397" s="82"/>
      <c r="H397" s="82"/>
      <c r="I397" s="82"/>
      <c r="J397" s="82"/>
      <c r="K397" s="82"/>
    </row>
    <row r="398" spans="1:11" ht="14.25" customHeight="1" x14ac:dyDescent="0.25">
      <c r="A398" s="82"/>
      <c r="B398" s="82"/>
      <c r="C398" s="82"/>
      <c r="D398" s="82"/>
      <c r="E398" s="82"/>
      <c r="F398" s="82"/>
      <c r="G398" s="82"/>
      <c r="H398" s="82"/>
      <c r="I398" s="82"/>
      <c r="J398" s="82"/>
      <c r="K398" s="82"/>
    </row>
    <row r="399" spans="1:11" ht="14.25" customHeight="1" x14ac:dyDescent="0.25">
      <c r="A399" s="82"/>
      <c r="B399" s="82"/>
      <c r="C399" s="82"/>
      <c r="D399" s="82"/>
      <c r="E399" s="82"/>
      <c r="F399" s="82"/>
      <c r="G399" s="82"/>
      <c r="H399" s="82"/>
      <c r="I399" s="82"/>
      <c r="J399" s="82"/>
      <c r="K399" s="82"/>
    </row>
    <row r="400" spans="1:11" ht="14.25" customHeight="1" x14ac:dyDescent="0.25">
      <c r="A400" s="82"/>
      <c r="B400" s="82"/>
      <c r="C400" s="82"/>
      <c r="D400" s="82"/>
      <c r="E400" s="82"/>
      <c r="F400" s="82"/>
      <c r="G400" s="82"/>
      <c r="H400" s="82"/>
      <c r="I400" s="82"/>
      <c r="J400" s="82"/>
      <c r="K400" s="82"/>
    </row>
    <row r="401" spans="1:11" ht="14.25" customHeight="1" x14ac:dyDescent="0.25">
      <c r="A401" s="82"/>
      <c r="B401" s="82"/>
      <c r="C401" s="82"/>
      <c r="D401" s="82"/>
      <c r="E401" s="82"/>
      <c r="F401" s="82"/>
      <c r="G401" s="82"/>
      <c r="H401" s="82"/>
      <c r="I401" s="82"/>
      <c r="J401" s="82"/>
      <c r="K401" s="82"/>
    </row>
    <row r="402" spans="1:11" ht="14.25" customHeight="1" x14ac:dyDescent="0.25">
      <c r="A402" s="82"/>
      <c r="B402" s="82"/>
      <c r="C402" s="82"/>
      <c r="D402" s="82"/>
      <c r="E402" s="82"/>
      <c r="F402" s="82"/>
      <c r="G402" s="82"/>
      <c r="H402" s="82"/>
      <c r="I402" s="82"/>
      <c r="J402" s="82"/>
      <c r="K402" s="82"/>
    </row>
    <row r="403" spans="1:11" ht="14.25" customHeight="1" x14ac:dyDescent="0.25">
      <c r="A403" s="82"/>
      <c r="B403" s="82"/>
      <c r="C403" s="82"/>
      <c r="D403" s="82"/>
      <c r="E403" s="82"/>
      <c r="F403" s="82"/>
      <c r="G403" s="82"/>
      <c r="H403" s="82"/>
      <c r="I403" s="82"/>
      <c r="J403" s="82"/>
      <c r="K403" s="82"/>
    </row>
    <row r="404" spans="1:11" ht="14.25" customHeight="1" x14ac:dyDescent="0.25">
      <c r="A404" s="82"/>
      <c r="B404" s="82"/>
      <c r="C404" s="82"/>
      <c r="D404" s="82"/>
      <c r="E404" s="82"/>
      <c r="F404" s="82"/>
      <c r="G404" s="82"/>
      <c r="H404" s="82"/>
      <c r="I404" s="82"/>
      <c r="J404" s="82"/>
      <c r="K404" s="82"/>
    </row>
    <row r="405" spans="1:11" ht="14.25" customHeight="1" x14ac:dyDescent="0.25">
      <c r="A405" s="82"/>
      <c r="B405" s="82"/>
      <c r="C405" s="82"/>
      <c r="D405" s="82"/>
      <c r="E405" s="82"/>
      <c r="F405" s="82"/>
      <c r="G405" s="82"/>
      <c r="H405" s="82"/>
      <c r="I405" s="82"/>
      <c r="J405" s="82"/>
      <c r="K405" s="82"/>
    </row>
    <row r="406" spans="1:11" ht="14.25" customHeight="1" x14ac:dyDescent="0.25">
      <c r="A406" s="82"/>
      <c r="B406" s="82"/>
      <c r="C406" s="82"/>
      <c r="D406" s="82"/>
      <c r="E406" s="82"/>
      <c r="F406" s="82"/>
      <c r="G406" s="82"/>
      <c r="H406" s="82"/>
      <c r="I406" s="82"/>
      <c r="J406" s="82"/>
      <c r="K406" s="82"/>
    </row>
    <row r="407" spans="1:11" ht="14.25" customHeight="1" x14ac:dyDescent="0.25">
      <c r="A407" s="82"/>
      <c r="B407" s="82"/>
      <c r="C407" s="82"/>
      <c r="D407" s="82"/>
      <c r="E407" s="82"/>
      <c r="F407" s="82"/>
      <c r="G407" s="82"/>
      <c r="H407" s="82"/>
      <c r="I407" s="82"/>
      <c r="J407" s="82"/>
      <c r="K407" s="82"/>
    </row>
    <row r="408" spans="1:11" ht="14.25" customHeight="1" x14ac:dyDescent="0.25">
      <c r="A408" s="82"/>
      <c r="B408" s="82"/>
      <c r="C408" s="82"/>
      <c r="D408" s="82"/>
      <c r="E408" s="82"/>
      <c r="F408" s="82"/>
      <c r="G408" s="82"/>
      <c r="H408" s="82"/>
      <c r="I408" s="82"/>
      <c r="J408" s="82"/>
      <c r="K408" s="82"/>
    </row>
    <row r="409" spans="1:11" ht="14.25" customHeight="1" x14ac:dyDescent="0.25">
      <c r="A409" s="82"/>
      <c r="B409" s="82"/>
      <c r="C409" s="82"/>
      <c r="D409" s="82"/>
      <c r="E409" s="82"/>
      <c r="F409" s="82"/>
      <c r="G409" s="82"/>
      <c r="H409" s="82"/>
      <c r="I409" s="82"/>
      <c r="J409" s="82"/>
      <c r="K409" s="82"/>
    </row>
    <row r="410" spans="1:11" ht="14.25" customHeight="1" x14ac:dyDescent="0.25">
      <c r="A410" s="82"/>
      <c r="B410" s="82"/>
      <c r="C410" s="82"/>
      <c r="D410" s="82"/>
      <c r="E410" s="82"/>
      <c r="F410" s="82"/>
      <c r="G410" s="82"/>
      <c r="H410" s="82"/>
      <c r="I410" s="82"/>
      <c r="J410" s="82"/>
      <c r="K410" s="82"/>
    </row>
    <row r="411" spans="1:11" ht="14.25" customHeight="1" x14ac:dyDescent="0.25">
      <c r="A411" s="82"/>
      <c r="B411" s="82"/>
      <c r="C411" s="82"/>
      <c r="D411" s="82"/>
      <c r="E411" s="82"/>
      <c r="F411" s="82"/>
      <c r="G411" s="82"/>
      <c r="H411" s="82"/>
      <c r="I411" s="82"/>
      <c r="J411" s="82"/>
      <c r="K411" s="82"/>
    </row>
    <row r="412" spans="1:11" ht="14.25" customHeight="1" x14ac:dyDescent="0.25">
      <c r="A412" s="82"/>
      <c r="B412" s="82"/>
      <c r="C412" s="82"/>
      <c r="D412" s="82"/>
      <c r="E412" s="82"/>
      <c r="F412" s="82"/>
      <c r="G412" s="82"/>
      <c r="H412" s="82"/>
      <c r="I412" s="82"/>
      <c r="J412" s="82"/>
      <c r="K412" s="82"/>
    </row>
    <row r="413" spans="1:11" ht="14.25" customHeight="1" x14ac:dyDescent="0.25">
      <c r="A413" s="82"/>
      <c r="B413" s="82"/>
      <c r="C413" s="82"/>
      <c r="D413" s="82"/>
      <c r="E413" s="82"/>
      <c r="F413" s="82"/>
      <c r="G413" s="82"/>
      <c r="H413" s="82"/>
      <c r="I413" s="82"/>
      <c r="J413" s="82"/>
      <c r="K413" s="82"/>
    </row>
    <row r="414" spans="1:11" ht="14.25" customHeight="1" x14ac:dyDescent="0.25">
      <c r="A414" s="82"/>
      <c r="B414" s="82"/>
      <c r="C414" s="82"/>
      <c r="D414" s="82"/>
      <c r="E414" s="82"/>
      <c r="F414" s="82"/>
      <c r="G414" s="82"/>
      <c r="H414" s="82"/>
      <c r="I414" s="82"/>
      <c r="J414" s="82"/>
      <c r="K414" s="82"/>
    </row>
    <row r="415" spans="1:11" ht="14.25" customHeight="1" x14ac:dyDescent="0.25">
      <c r="A415" s="82"/>
      <c r="B415" s="82"/>
      <c r="C415" s="82"/>
      <c r="D415" s="82"/>
      <c r="E415" s="82"/>
      <c r="F415" s="82"/>
      <c r="G415" s="82"/>
      <c r="H415" s="82"/>
      <c r="I415" s="82"/>
      <c r="J415" s="82"/>
      <c r="K415" s="82"/>
    </row>
    <row r="416" spans="1:11" ht="14.25" customHeight="1" x14ac:dyDescent="0.25">
      <c r="A416" s="82"/>
      <c r="B416" s="82"/>
      <c r="C416" s="82"/>
      <c r="D416" s="82"/>
      <c r="E416" s="82"/>
      <c r="F416" s="82"/>
      <c r="G416" s="82"/>
      <c r="H416" s="82"/>
      <c r="I416" s="82"/>
      <c r="J416" s="82"/>
      <c r="K416" s="82"/>
    </row>
    <row r="417" spans="1:11" ht="14.25" customHeight="1" x14ac:dyDescent="0.25">
      <c r="A417" s="82"/>
      <c r="B417" s="82"/>
      <c r="C417" s="82"/>
      <c r="D417" s="82"/>
      <c r="E417" s="82"/>
      <c r="F417" s="82"/>
      <c r="G417" s="82"/>
      <c r="H417" s="82"/>
      <c r="I417" s="82"/>
      <c r="J417" s="82"/>
      <c r="K417" s="82"/>
    </row>
    <row r="418" spans="1:11" ht="14.25" customHeight="1" x14ac:dyDescent="0.25">
      <c r="A418" s="82"/>
      <c r="B418" s="82"/>
      <c r="C418" s="82"/>
      <c r="D418" s="82"/>
      <c r="E418" s="82"/>
      <c r="F418" s="82"/>
      <c r="G418" s="82"/>
      <c r="H418" s="82"/>
      <c r="I418" s="82"/>
      <c r="J418" s="82"/>
      <c r="K418" s="82"/>
    </row>
    <row r="419" spans="1:11" ht="14.25" customHeight="1" x14ac:dyDescent="0.25">
      <c r="A419" s="82"/>
      <c r="B419" s="82"/>
      <c r="C419" s="82"/>
      <c r="D419" s="82"/>
      <c r="E419" s="82"/>
      <c r="F419" s="82"/>
      <c r="G419" s="82"/>
      <c r="H419" s="82"/>
      <c r="I419" s="82"/>
      <c r="J419" s="82"/>
      <c r="K419" s="82"/>
    </row>
    <row r="420" spans="1:11" ht="14.25" customHeight="1" x14ac:dyDescent="0.25">
      <c r="A420" s="82"/>
      <c r="B420" s="82"/>
      <c r="C420" s="82"/>
      <c r="D420" s="82"/>
      <c r="E420" s="82"/>
      <c r="F420" s="82"/>
      <c r="G420" s="82"/>
      <c r="H420" s="82"/>
      <c r="I420" s="82"/>
      <c r="J420" s="82"/>
      <c r="K420" s="82"/>
    </row>
    <row r="421" spans="1:11" ht="14.25" customHeight="1" x14ac:dyDescent="0.25">
      <c r="A421" s="82"/>
      <c r="B421" s="82"/>
      <c r="C421" s="82"/>
      <c r="D421" s="82"/>
      <c r="E421" s="82"/>
      <c r="F421" s="82"/>
      <c r="G421" s="82"/>
      <c r="H421" s="82"/>
      <c r="I421" s="82"/>
      <c r="J421" s="82"/>
      <c r="K421" s="82"/>
    </row>
    <row r="422" spans="1:11" ht="14.25" customHeight="1" x14ac:dyDescent="0.25">
      <c r="A422" s="82"/>
      <c r="B422" s="82"/>
      <c r="C422" s="82"/>
      <c r="D422" s="82"/>
      <c r="E422" s="82"/>
      <c r="F422" s="82"/>
      <c r="G422" s="82"/>
      <c r="H422" s="82"/>
      <c r="I422" s="82"/>
      <c r="J422" s="82"/>
      <c r="K422" s="82"/>
    </row>
    <row r="423" spans="1:11" ht="14.25" customHeight="1" x14ac:dyDescent="0.25">
      <c r="A423" s="82"/>
      <c r="B423" s="82"/>
      <c r="C423" s="82"/>
      <c r="D423" s="82"/>
      <c r="E423" s="82"/>
      <c r="F423" s="82"/>
      <c r="G423" s="82"/>
      <c r="H423" s="82"/>
      <c r="I423" s="82"/>
      <c r="J423" s="82"/>
      <c r="K423" s="82"/>
    </row>
    <row r="424" spans="1:11" ht="14.25" customHeight="1" x14ac:dyDescent="0.25">
      <c r="A424" s="82"/>
      <c r="B424" s="82"/>
      <c r="C424" s="82"/>
      <c r="D424" s="82"/>
      <c r="E424" s="82"/>
      <c r="F424" s="82"/>
      <c r="G424" s="82"/>
      <c r="H424" s="82"/>
      <c r="I424" s="82"/>
      <c r="J424" s="82"/>
      <c r="K424" s="82"/>
    </row>
    <row r="425" spans="1:11" ht="14.25" customHeight="1" x14ac:dyDescent="0.25">
      <c r="A425" s="82"/>
      <c r="B425" s="82"/>
      <c r="C425" s="82"/>
      <c r="D425" s="82"/>
      <c r="E425" s="82"/>
      <c r="F425" s="82"/>
      <c r="G425" s="82"/>
      <c r="H425" s="82"/>
      <c r="I425" s="82"/>
      <c r="J425" s="82"/>
      <c r="K425" s="82"/>
    </row>
    <row r="426" spans="1:11" ht="14.25" customHeight="1" x14ac:dyDescent="0.25">
      <c r="A426" s="82"/>
      <c r="B426" s="82"/>
      <c r="C426" s="82"/>
      <c r="D426" s="82"/>
      <c r="E426" s="82"/>
      <c r="F426" s="82"/>
      <c r="G426" s="82"/>
      <c r="H426" s="82"/>
      <c r="I426" s="82"/>
      <c r="J426" s="82"/>
      <c r="K426" s="82"/>
    </row>
    <row r="427" spans="1:11" ht="14.25" customHeight="1" x14ac:dyDescent="0.25">
      <c r="A427" s="82"/>
      <c r="B427" s="82"/>
      <c r="C427" s="82"/>
      <c r="D427" s="82"/>
      <c r="E427" s="82"/>
      <c r="F427" s="82"/>
      <c r="G427" s="82"/>
      <c r="H427" s="82"/>
      <c r="I427" s="82"/>
      <c r="J427" s="82"/>
      <c r="K427" s="82"/>
    </row>
    <row r="428" spans="1:11" ht="14.25" customHeight="1" x14ac:dyDescent="0.25">
      <c r="A428" s="82"/>
      <c r="B428" s="82"/>
      <c r="C428" s="82"/>
      <c r="D428" s="82"/>
      <c r="E428" s="82"/>
      <c r="F428" s="82"/>
      <c r="G428" s="82"/>
      <c r="H428" s="82"/>
      <c r="I428" s="82"/>
      <c r="J428" s="82"/>
      <c r="K428" s="82"/>
    </row>
    <row r="429" spans="1:11" ht="14.25" customHeight="1" x14ac:dyDescent="0.25">
      <c r="A429" s="82"/>
      <c r="B429" s="82"/>
      <c r="C429" s="82"/>
      <c r="D429" s="82"/>
      <c r="E429" s="82"/>
      <c r="F429" s="82"/>
      <c r="G429" s="82"/>
      <c r="H429" s="82"/>
      <c r="I429" s="82"/>
      <c r="J429" s="82"/>
      <c r="K429" s="82"/>
    </row>
    <row r="430" spans="1:11" ht="14.25" customHeight="1" x14ac:dyDescent="0.25">
      <c r="A430" s="82"/>
      <c r="B430" s="82"/>
      <c r="C430" s="82"/>
      <c r="D430" s="82"/>
      <c r="E430" s="82"/>
      <c r="F430" s="82"/>
      <c r="G430" s="82"/>
      <c r="H430" s="82"/>
      <c r="I430" s="82"/>
      <c r="J430" s="82"/>
      <c r="K430" s="82"/>
    </row>
    <row r="431" spans="1:11" ht="14.25" customHeight="1" x14ac:dyDescent="0.25">
      <c r="A431" s="82"/>
      <c r="B431" s="82"/>
      <c r="C431" s="82"/>
      <c r="D431" s="82"/>
      <c r="E431" s="82"/>
      <c r="F431" s="82"/>
      <c r="G431" s="82"/>
      <c r="H431" s="82"/>
      <c r="I431" s="82"/>
      <c r="J431" s="82"/>
      <c r="K431" s="82"/>
    </row>
    <row r="432" spans="1:11" ht="14.25" customHeight="1" x14ac:dyDescent="0.25">
      <c r="A432" s="82"/>
      <c r="B432" s="82"/>
      <c r="C432" s="82"/>
      <c r="D432" s="82"/>
      <c r="E432" s="82"/>
      <c r="F432" s="82"/>
      <c r="G432" s="82"/>
      <c r="H432" s="82"/>
      <c r="I432" s="82"/>
      <c r="J432" s="82"/>
      <c r="K432" s="82"/>
    </row>
    <row r="433" spans="1:11" ht="14.25" customHeight="1" x14ac:dyDescent="0.25">
      <c r="A433" s="82"/>
      <c r="B433" s="82"/>
      <c r="C433" s="82"/>
      <c r="D433" s="82"/>
      <c r="E433" s="82"/>
      <c r="F433" s="82"/>
      <c r="G433" s="82"/>
      <c r="H433" s="82"/>
      <c r="I433" s="82"/>
      <c r="J433" s="82"/>
      <c r="K433" s="82"/>
    </row>
    <row r="434" spans="1:11" ht="14.25" customHeight="1" x14ac:dyDescent="0.25">
      <c r="A434" s="82"/>
      <c r="B434" s="82"/>
      <c r="C434" s="82"/>
      <c r="D434" s="82"/>
      <c r="E434" s="82"/>
      <c r="F434" s="82"/>
      <c r="G434" s="82"/>
      <c r="H434" s="82"/>
      <c r="I434" s="82"/>
      <c r="J434" s="82"/>
      <c r="K434" s="82"/>
    </row>
    <row r="435" spans="1:11" ht="14.25" customHeight="1" x14ac:dyDescent="0.25">
      <c r="A435" s="82"/>
      <c r="B435" s="82"/>
      <c r="C435" s="82"/>
      <c r="D435" s="82"/>
      <c r="E435" s="82"/>
      <c r="F435" s="82"/>
      <c r="G435" s="82"/>
      <c r="H435" s="82"/>
      <c r="I435" s="82"/>
      <c r="J435" s="82"/>
      <c r="K435" s="82"/>
    </row>
    <row r="436" spans="1:11" ht="14.25" customHeight="1" x14ac:dyDescent="0.25">
      <c r="A436" s="82"/>
      <c r="B436" s="82"/>
      <c r="C436" s="82"/>
      <c r="D436" s="82"/>
      <c r="E436" s="82"/>
      <c r="F436" s="82"/>
      <c r="G436" s="82"/>
      <c r="H436" s="82"/>
      <c r="I436" s="82"/>
      <c r="J436" s="82"/>
      <c r="K436" s="82"/>
    </row>
    <row r="437" spans="1:11" ht="14.25" customHeight="1" x14ac:dyDescent="0.25">
      <c r="A437" s="82"/>
      <c r="B437" s="82"/>
      <c r="C437" s="82"/>
      <c r="D437" s="82"/>
      <c r="E437" s="82"/>
      <c r="F437" s="82"/>
      <c r="G437" s="82"/>
      <c r="H437" s="82"/>
      <c r="I437" s="82"/>
      <c r="J437" s="82"/>
      <c r="K437" s="82"/>
    </row>
    <row r="438" spans="1:11" ht="14.25" customHeight="1" x14ac:dyDescent="0.25">
      <c r="A438" s="82"/>
      <c r="B438" s="82"/>
      <c r="C438" s="82"/>
      <c r="D438" s="82"/>
      <c r="E438" s="82"/>
      <c r="F438" s="82"/>
      <c r="G438" s="82"/>
      <c r="H438" s="82"/>
      <c r="I438" s="82"/>
      <c r="J438" s="82"/>
      <c r="K438" s="82"/>
    </row>
    <row r="439" spans="1:11" ht="14.25" customHeight="1" x14ac:dyDescent="0.25">
      <c r="A439" s="82"/>
      <c r="B439" s="82"/>
      <c r="C439" s="82"/>
      <c r="D439" s="82"/>
      <c r="E439" s="82"/>
      <c r="F439" s="82"/>
      <c r="G439" s="82"/>
      <c r="H439" s="82"/>
      <c r="I439" s="82"/>
      <c r="J439" s="82"/>
      <c r="K439" s="82"/>
    </row>
    <row r="440" spans="1:11" ht="14.25" customHeight="1" x14ac:dyDescent="0.25">
      <c r="A440" s="82"/>
      <c r="B440" s="82"/>
      <c r="C440" s="82"/>
      <c r="D440" s="82"/>
      <c r="E440" s="82"/>
      <c r="F440" s="82"/>
      <c r="G440" s="82"/>
      <c r="H440" s="82"/>
      <c r="I440" s="82"/>
      <c r="J440" s="82"/>
      <c r="K440" s="82"/>
    </row>
    <row r="441" spans="1:11" ht="14.25" customHeight="1" x14ac:dyDescent="0.25">
      <c r="A441" s="82"/>
      <c r="B441" s="82"/>
      <c r="C441" s="82"/>
      <c r="D441" s="82"/>
      <c r="E441" s="82"/>
      <c r="F441" s="82"/>
      <c r="G441" s="82"/>
      <c r="H441" s="82"/>
      <c r="I441" s="82"/>
      <c r="J441" s="82"/>
      <c r="K441" s="82"/>
    </row>
    <row r="442" spans="1:11" ht="14.25" customHeight="1" x14ac:dyDescent="0.25">
      <c r="A442" s="82"/>
      <c r="B442" s="82"/>
      <c r="C442" s="82"/>
      <c r="D442" s="82"/>
      <c r="E442" s="82"/>
      <c r="F442" s="82"/>
      <c r="G442" s="82"/>
      <c r="H442" s="82"/>
      <c r="I442" s="82"/>
      <c r="J442" s="82"/>
      <c r="K442" s="82"/>
    </row>
    <row r="443" spans="1:11" ht="14.25" customHeight="1" x14ac:dyDescent="0.25">
      <c r="A443" s="82"/>
      <c r="B443" s="82"/>
      <c r="C443" s="82"/>
      <c r="D443" s="82"/>
      <c r="E443" s="82"/>
      <c r="F443" s="82"/>
      <c r="G443" s="82"/>
      <c r="H443" s="82"/>
      <c r="I443" s="82"/>
      <c r="J443" s="82"/>
      <c r="K443" s="82"/>
    </row>
    <row r="444" spans="1:11" ht="14.25" customHeight="1" x14ac:dyDescent="0.25">
      <c r="A444" s="82"/>
      <c r="B444" s="82"/>
      <c r="C444" s="82"/>
      <c r="D444" s="82"/>
      <c r="E444" s="82"/>
      <c r="F444" s="82"/>
      <c r="G444" s="82"/>
      <c r="H444" s="82"/>
      <c r="I444" s="82"/>
      <c r="J444" s="82"/>
      <c r="K444" s="82"/>
    </row>
    <row r="445" spans="1:11" ht="14.25" customHeight="1" x14ac:dyDescent="0.25">
      <c r="A445" s="82"/>
      <c r="B445" s="82"/>
      <c r="C445" s="82"/>
      <c r="D445" s="82"/>
      <c r="E445" s="82"/>
      <c r="F445" s="82"/>
      <c r="G445" s="82"/>
      <c r="H445" s="82"/>
      <c r="I445" s="82"/>
      <c r="J445" s="82"/>
      <c r="K445" s="82"/>
    </row>
    <row r="446" spans="1:11" ht="14.25" customHeight="1" x14ac:dyDescent="0.25">
      <c r="A446" s="82"/>
      <c r="B446" s="82"/>
      <c r="C446" s="82"/>
      <c r="D446" s="82"/>
      <c r="E446" s="82"/>
      <c r="F446" s="82"/>
      <c r="G446" s="82"/>
      <c r="H446" s="82"/>
      <c r="I446" s="82"/>
      <c r="J446" s="82"/>
      <c r="K446" s="82"/>
    </row>
    <row r="447" spans="1:11" ht="14.25" customHeight="1" x14ac:dyDescent="0.25">
      <c r="A447" s="82"/>
      <c r="B447" s="82"/>
      <c r="C447" s="82"/>
      <c r="D447" s="82"/>
      <c r="E447" s="82"/>
      <c r="F447" s="82"/>
      <c r="G447" s="82"/>
      <c r="H447" s="82"/>
      <c r="I447" s="82"/>
      <c r="J447" s="82"/>
      <c r="K447" s="82"/>
    </row>
    <row r="448" spans="1:11" ht="14.25" customHeight="1" x14ac:dyDescent="0.25">
      <c r="A448" s="82"/>
      <c r="B448" s="82"/>
      <c r="C448" s="82"/>
      <c r="D448" s="82"/>
      <c r="E448" s="82"/>
      <c r="F448" s="82"/>
      <c r="G448" s="82"/>
      <c r="H448" s="82"/>
      <c r="I448" s="82"/>
      <c r="J448" s="82"/>
      <c r="K448" s="82"/>
    </row>
    <row r="449" spans="1:11" ht="14.25" customHeight="1" x14ac:dyDescent="0.25">
      <c r="A449" s="82"/>
      <c r="B449" s="82"/>
      <c r="C449" s="82"/>
      <c r="D449" s="82"/>
      <c r="E449" s="82"/>
      <c r="F449" s="82"/>
      <c r="G449" s="82"/>
      <c r="H449" s="82"/>
      <c r="I449" s="82"/>
      <c r="J449" s="82"/>
      <c r="K449" s="82"/>
    </row>
    <row r="450" spans="1:11" ht="14.25" customHeight="1" x14ac:dyDescent="0.25">
      <c r="A450" s="82"/>
      <c r="B450" s="82"/>
      <c r="C450" s="82"/>
      <c r="D450" s="82"/>
      <c r="E450" s="82"/>
      <c r="F450" s="82"/>
      <c r="G450" s="82"/>
      <c r="H450" s="82"/>
      <c r="I450" s="82"/>
      <c r="J450" s="82"/>
      <c r="K450" s="82"/>
    </row>
    <row r="451" spans="1:11" ht="14.25" customHeight="1" x14ac:dyDescent="0.25">
      <c r="A451" s="82"/>
      <c r="B451" s="82"/>
      <c r="C451" s="82"/>
      <c r="D451" s="82"/>
      <c r="E451" s="82"/>
      <c r="F451" s="82"/>
      <c r="G451" s="82"/>
      <c r="H451" s="82"/>
      <c r="I451" s="82"/>
      <c r="J451" s="82"/>
      <c r="K451" s="82"/>
    </row>
    <row r="452" spans="1:11" ht="14.25" customHeight="1" x14ac:dyDescent="0.25">
      <c r="A452" s="82"/>
      <c r="B452" s="82"/>
      <c r="C452" s="82"/>
      <c r="D452" s="82"/>
      <c r="E452" s="82"/>
      <c r="F452" s="82"/>
      <c r="G452" s="82"/>
      <c r="H452" s="82"/>
      <c r="I452" s="82"/>
      <c r="J452" s="82"/>
      <c r="K452" s="82"/>
    </row>
    <row r="453" spans="1:11" ht="14.25" customHeight="1" x14ac:dyDescent="0.25">
      <c r="A453" s="82"/>
      <c r="B453" s="82"/>
      <c r="C453" s="82"/>
      <c r="D453" s="82"/>
      <c r="E453" s="82"/>
      <c r="F453" s="82"/>
      <c r="G453" s="82"/>
      <c r="H453" s="82"/>
      <c r="I453" s="82"/>
      <c r="J453" s="82"/>
      <c r="K453" s="82"/>
    </row>
    <row r="454" spans="1:11" ht="14.25" customHeight="1" x14ac:dyDescent="0.25">
      <c r="A454" s="82"/>
      <c r="B454" s="82"/>
      <c r="C454" s="82"/>
      <c r="D454" s="82"/>
      <c r="E454" s="82"/>
      <c r="F454" s="82"/>
      <c r="G454" s="82"/>
      <c r="H454" s="82"/>
      <c r="I454" s="82"/>
      <c r="J454" s="82"/>
      <c r="K454" s="82"/>
    </row>
    <row r="455" spans="1:11" ht="14.25" customHeight="1" x14ac:dyDescent="0.25">
      <c r="A455" s="82"/>
      <c r="B455" s="82"/>
      <c r="C455" s="82"/>
      <c r="D455" s="82"/>
      <c r="E455" s="82"/>
      <c r="F455" s="82"/>
      <c r="G455" s="82"/>
      <c r="H455" s="82"/>
      <c r="I455" s="82"/>
      <c r="J455" s="82"/>
      <c r="K455" s="82"/>
    </row>
    <row r="456" spans="1:11" ht="14.25" customHeight="1" x14ac:dyDescent="0.25">
      <c r="A456" s="82"/>
      <c r="B456" s="82"/>
      <c r="C456" s="82"/>
      <c r="D456" s="82"/>
      <c r="E456" s="82"/>
      <c r="F456" s="82"/>
      <c r="G456" s="82"/>
      <c r="H456" s="82"/>
      <c r="I456" s="82"/>
      <c r="J456" s="82"/>
      <c r="K456" s="82"/>
    </row>
    <row r="457" spans="1:11" ht="14.25" customHeight="1" x14ac:dyDescent="0.25">
      <c r="A457" s="82"/>
      <c r="B457" s="82"/>
      <c r="C457" s="82"/>
      <c r="D457" s="82"/>
      <c r="E457" s="82"/>
      <c r="F457" s="82"/>
      <c r="G457" s="82"/>
      <c r="H457" s="82"/>
      <c r="I457" s="82"/>
      <c r="J457" s="82"/>
      <c r="K457" s="82"/>
    </row>
    <row r="458" spans="1:11" ht="14.25" customHeight="1" x14ac:dyDescent="0.25">
      <c r="A458" s="82"/>
      <c r="B458" s="82"/>
      <c r="C458" s="82"/>
      <c r="D458" s="82"/>
      <c r="E458" s="82"/>
      <c r="F458" s="82"/>
      <c r="G458" s="82"/>
      <c r="H458" s="82"/>
      <c r="I458" s="82"/>
      <c r="J458" s="82"/>
      <c r="K458" s="82"/>
    </row>
    <row r="459" spans="1:11" ht="14.25" customHeight="1" x14ac:dyDescent="0.25">
      <c r="A459" s="82"/>
      <c r="B459" s="82"/>
      <c r="C459" s="82"/>
      <c r="D459" s="82"/>
      <c r="E459" s="82"/>
      <c r="F459" s="82"/>
      <c r="G459" s="82"/>
      <c r="H459" s="82"/>
      <c r="I459" s="82"/>
      <c r="J459" s="82"/>
      <c r="K459" s="82"/>
    </row>
    <row r="460" spans="1:11" ht="14.25" customHeight="1" x14ac:dyDescent="0.25">
      <c r="A460" s="82"/>
      <c r="B460" s="82"/>
      <c r="C460" s="82"/>
      <c r="D460" s="82"/>
      <c r="E460" s="82"/>
      <c r="F460" s="82"/>
      <c r="G460" s="82"/>
      <c r="H460" s="82"/>
      <c r="I460" s="82"/>
      <c r="J460" s="82"/>
      <c r="K460" s="82"/>
    </row>
    <row r="461" spans="1:11" ht="14.25" customHeight="1" x14ac:dyDescent="0.25">
      <c r="A461" s="82"/>
      <c r="B461" s="82"/>
      <c r="C461" s="82"/>
      <c r="D461" s="82"/>
      <c r="E461" s="82"/>
      <c r="F461" s="82"/>
      <c r="G461" s="82"/>
      <c r="H461" s="82"/>
      <c r="I461" s="82"/>
      <c r="J461" s="82"/>
      <c r="K461" s="82"/>
    </row>
    <row r="462" spans="1:11" ht="14.25" customHeight="1" x14ac:dyDescent="0.25">
      <c r="A462" s="82"/>
      <c r="B462" s="82"/>
      <c r="C462" s="82"/>
      <c r="D462" s="82"/>
      <c r="E462" s="82"/>
      <c r="F462" s="82"/>
      <c r="G462" s="82"/>
      <c r="H462" s="82"/>
      <c r="I462" s="82"/>
      <c r="J462" s="82"/>
      <c r="K462" s="82"/>
    </row>
    <row r="463" spans="1:11" ht="14.25" customHeight="1" x14ac:dyDescent="0.25">
      <c r="A463" s="82"/>
      <c r="B463" s="82"/>
      <c r="C463" s="82"/>
      <c r="D463" s="82"/>
      <c r="E463" s="82"/>
      <c r="F463" s="82"/>
      <c r="G463" s="82"/>
      <c r="H463" s="82"/>
      <c r="I463" s="82"/>
      <c r="J463" s="82"/>
      <c r="K463" s="82"/>
    </row>
    <row r="464" spans="1:11" ht="14.25" customHeight="1" x14ac:dyDescent="0.25">
      <c r="A464" s="82"/>
      <c r="B464" s="82"/>
      <c r="C464" s="82"/>
      <c r="D464" s="82"/>
      <c r="E464" s="82"/>
      <c r="F464" s="82"/>
      <c r="G464" s="82"/>
      <c r="H464" s="82"/>
      <c r="I464" s="82"/>
      <c r="J464" s="82"/>
      <c r="K464" s="82"/>
    </row>
    <row r="465" spans="1:11" ht="14.25" customHeight="1" x14ac:dyDescent="0.25">
      <c r="A465" s="82"/>
      <c r="B465" s="82"/>
      <c r="C465" s="82"/>
      <c r="D465" s="82"/>
      <c r="E465" s="82"/>
      <c r="F465" s="82"/>
      <c r="G465" s="82"/>
      <c r="H465" s="82"/>
      <c r="I465" s="82"/>
      <c r="J465" s="82"/>
      <c r="K465" s="82"/>
    </row>
    <row r="466" spans="1:11" ht="14.25" customHeight="1" x14ac:dyDescent="0.25">
      <c r="A466" s="82"/>
      <c r="B466" s="82"/>
      <c r="C466" s="82"/>
      <c r="D466" s="82"/>
      <c r="E466" s="82"/>
      <c r="F466" s="82"/>
      <c r="G466" s="82"/>
      <c r="H466" s="82"/>
      <c r="I466" s="82"/>
      <c r="J466" s="82"/>
      <c r="K466" s="82"/>
    </row>
    <row r="467" spans="1:11" ht="14.25" customHeight="1" x14ac:dyDescent="0.25">
      <c r="A467" s="82"/>
      <c r="B467" s="82"/>
      <c r="C467" s="82"/>
      <c r="D467" s="82"/>
      <c r="E467" s="82"/>
      <c r="F467" s="82"/>
      <c r="G467" s="82"/>
      <c r="H467" s="82"/>
      <c r="I467" s="82"/>
      <c r="J467" s="82"/>
      <c r="K467" s="82"/>
    </row>
    <row r="468" spans="1:11" ht="14.25" customHeight="1" x14ac:dyDescent="0.25">
      <c r="A468" s="82"/>
      <c r="B468" s="82"/>
      <c r="C468" s="82"/>
      <c r="D468" s="82"/>
      <c r="E468" s="82"/>
      <c r="F468" s="82"/>
      <c r="G468" s="82"/>
      <c r="H468" s="82"/>
      <c r="I468" s="82"/>
      <c r="J468" s="82"/>
      <c r="K468" s="82"/>
    </row>
    <row r="469" spans="1:11" ht="14.25" customHeight="1" x14ac:dyDescent="0.25">
      <c r="A469" s="82"/>
      <c r="B469" s="82"/>
      <c r="C469" s="82"/>
      <c r="D469" s="82"/>
      <c r="E469" s="82"/>
      <c r="F469" s="82"/>
      <c r="G469" s="82"/>
      <c r="H469" s="82"/>
      <c r="I469" s="82"/>
      <c r="J469" s="82"/>
      <c r="K469" s="82"/>
    </row>
    <row r="470" spans="1:11" ht="14.25" customHeight="1" x14ac:dyDescent="0.25">
      <c r="A470" s="82"/>
      <c r="B470" s="82"/>
      <c r="C470" s="82"/>
      <c r="D470" s="82"/>
      <c r="E470" s="82"/>
      <c r="F470" s="82"/>
      <c r="G470" s="82"/>
      <c r="H470" s="82"/>
      <c r="I470" s="82"/>
      <c r="J470" s="82"/>
      <c r="K470" s="82"/>
    </row>
    <row r="471" spans="1:11" ht="14.25" customHeight="1" x14ac:dyDescent="0.25">
      <c r="A471" s="82"/>
      <c r="B471" s="82"/>
      <c r="C471" s="82"/>
      <c r="D471" s="82"/>
      <c r="E471" s="82"/>
      <c r="F471" s="82"/>
      <c r="G471" s="82"/>
      <c r="H471" s="82"/>
      <c r="I471" s="82"/>
      <c r="J471" s="82"/>
      <c r="K471" s="82"/>
    </row>
    <row r="472" spans="1:11" ht="14.25" customHeight="1" x14ac:dyDescent="0.25">
      <c r="A472" s="82"/>
      <c r="B472" s="82"/>
      <c r="C472" s="82"/>
      <c r="D472" s="82"/>
      <c r="E472" s="82"/>
      <c r="F472" s="82"/>
      <c r="G472" s="82"/>
      <c r="H472" s="82"/>
      <c r="I472" s="82"/>
      <c r="J472" s="82"/>
      <c r="K472" s="82"/>
    </row>
    <row r="473" spans="1:11" ht="14.25" customHeight="1" x14ac:dyDescent="0.25">
      <c r="A473" s="82"/>
      <c r="B473" s="82"/>
      <c r="C473" s="82"/>
      <c r="D473" s="82"/>
      <c r="E473" s="82"/>
      <c r="F473" s="82"/>
      <c r="G473" s="82"/>
      <c r="H473" s="82"/>
      <c r="I473" s="82"/>
      <c r="J473" s="82"/>
      <c r="K473" s="82"/>
    </row>
    <row r="474" spans="1:11" ht="14.25" customHeight="1" x14ac:dyDescent="0.25">
      <c r="A474" s="82"/>
      <c r="B474" s="82"/>
      <c r="C474" s="82"/>
      <c r="D474" s="82"/>
      <c r="E474" s="82"/>
      <c r="F474" s="82"/>
      <c r="G474" s="82"/>
      <c r="H474" s="82"/>
      <c r="I474" s="82"/>
      <c r="J474" s="82"/>
      <c r="K474" s="82"/>
    </row>
    <row r="475" spans="1:11" ht="14.25" customHeight="1" x14ac:dyDescent="0.25">
      <c r="A475" s="82"/>
      <c r="B475" s="82"/>
      <c r="C475" s="82"/>
      <c r="D475" s="82"/>
      <c r="E475" s="82"/>
      <c r="F475" s="82"/>
      <c r="G475" s="82"/>
      <c r="H475" s="82"/>
      <c r="I475" s="82"/>
      <c r="J475" s="82"/>
      <c r="K475" s="82"/>
    </row>
    <row r="476" spans="1:11" ht="14.25" customHeight="1" x14ac:dyDescent="0.25">
      <c r="A476" s="82"/>
      <c r="B476" s="82"/>
      <c r="C476" s="82"/>
      <c r="D476" s="82"/>
      <c r="E476" s="82"/>
      <c r="F476" s="82"/>
      <c r="G476" s="82"/>
      <c r="H476" s="82"/>
      <c r="I476" s="82"/>
      <c r="J476" s="82"/>
      <c r="K476" s="82"/>
    </row>
    <row r="477" spans="1:11" ht="14.25" customHeight="1" x14ac:dyDescent="0.25">
      <c r="A477" s="82"/>
      <c r="B477" s="82"/>
      <c r="C477" s="82"/>
      <c r="D477" s="82"/>
      <c r="E477" s="82"/>
      <c r="F477" s="82"/>
      <c r="G477" s="82"/>
      <c r="H477" s="82"/>
      <c r="I477" s="82"/>
      <c r="J477" s="82"/>
      <c r="K477" s="82"/>
    </row>
    <row r="478" spans="1:11" ht="14.25" customHeight="1" x14ac:dyDescent="0.25">
      <c r="A478" s="82"/>
      <c r="B478" s="82"/>
      <c r="C478" s="82"/>
      <c r="D478" s="82"/>
      <c r="E478" s="82"/>
      <c r="F478" s="82"/>
      <c r="G478" s="82"/>
      <c r="H478" s="82"/>
      <c r="I478" s="82"/>
      <c r="J478" s="82"/>
      <c r="K478" s="82"/>
    </row>
    <row r="479" spans="1:11" ht="14.25" customHeight="1" x14ac:dyDescent="0.25">
      <c r="A479" s="82"/>
      <c r="B479" s="82"/>
      <c r="C479" s="82"/>
      <c r="D479" s="82"/>
      <c r="E479" s="82"/>
      <c r="F479" s="82"/>
      <c r="G479" s="82"/>
      <c r="H479" s="82"/>
      <c r="I479" s="82"/>
      <c r="J479" s="82"/>
      <c r="K479" s="82"/>
    </row>
    <row r="480" spans="1:11" ht="14.25" customHeight="1" x14ac:dyDescent="0.25">
      <c r="A480" s="82"/>
      <c r="B480" s="82"/>
      <c r="C480" s="82"/>
      <c r="D480" s="82"/>
      <c r="E480" s="82"/>
      <c r="F480" s="82"/>
      <c r="G480" s="82"/>
      <c r="H480" s="82"/>
      <c r="I480" s="82"/>
      <c r="J480" s="82"/>
      <c r="K480" s="82"/>
    </row>
    <row r="481" spans="1:11" ht="14.25" customHeight="1" x14ac:dyDescent="0.25">
      <c r="A481" s="82"/>
      <c r="B481" s="82"/>
      <c r="C481" s="82"/>
      <c r="D481" s="82"/>
      <c r="E481" s="82"/>
      <c r="F481" s="82"/>
      <c r="G481" s="82"/>
      <c r="H481" s="82"/>
      <c r="I481" s="82"/>
      <c r="J481" s="82"/>
      <c r="K481" s="82"/>
    </row>
    <row r="482" spans="1:11" ht="14.25" customHeight="1" x14ac:dyDescent="0.25">
      <c r="A482" s="82"/>
      <c r="B482" s="82"/>
      <c r="C482" s="82"/>
      <c r="D482" s="82"/>
      <c r="E482" s="82"/>
      <c r="F482" s="82"/>
      <c r="G482" s="82"/>
      <c r="H482" s="82"/>
      <c r="I482" s="82"/>
      <c r="J482" s="82"/>
      <c r="K482" s="82"/>
    </row>
    <row r="483" spans="1:11" ht="14.25" customHeight="1" x14ac:dyDescent="0.25">
      <c r="A483" s="82"/>
      <c r="B483" s="82"/>
      <c r="C483" s="82"/>
      <c r="D483" s="82"/>
      <c r="E483" s="82"/>
      <c r="F483" s="82"/>
      <c r="G483" s="82"/>
      <c r="H483" s="82"/>
      <c r="I483" s="82"/>
      <c r="J483" s="82"/>
      <c r="K483" s="82"/>
    </row>
    <row r="484" spans="1:11" ht="14.25" customHeight="1" x14ac:dyDescent="0.25">
      <c r="A484" s="82"/>
      <c r="B484" s="82"/>
      <c r="C484" s="82"/>
      <c r="D484" s="82"/>
      <c r="E484" s="82"/>
      <c r="F484" s="82"/>
      <c r="G484" s="82"/>
      <c r="H484" s="82"/>
      <c r="I484" s="82"/>
      <c r="J484" s="82"/>
      <c r="K484" s="82"/>
    </row>
    <row r="485" spans="1:11" ht="14.25" customHeight="1" x14ac:dyDescent="0.25">
      <c r="A485" s="82"/>
      <c r="B485" s="82"/>
      <c r="C485" s="82"/>
      <c r="D485" s="82"/>
      <c r="E485" s="82"/>
      <c r="F485" s="82"/>
      <c r="G485" s="82"/>
      <c r="H485" s="82"/>
      <c r="I485" s="82"/>
      <c r="J485" s="82"/>
      <c r="K485" s="82"/>
    </row>
    <row r="486" spans="1:11" ht="14.25" customHeight="1" x14ac:dyDescent="0.25">
      <c r="A486" s="82"/>
      <c r="B486" s="82"/>
      <c r="C486" s="82"/>
      <c r="D486" s="82"/>
      <c r="E486" s="82"/>
      <c r="F486" s="82"/>
      <c r="G486" s="82"/>
      <c r="H486" s="82"/>
      <c r="I486" s="82"/>
      <c r="J486" s="82"/>
      <c r="K486" s="82"/>
    </row>
    <row r="487" spans="1:11" ht="14.25" customHeight="1" x14ac:dyDescent="0.25">
      <c r="A487" s="82"/>
      <c r="B487" s="82"/>
      <c r="C487" s="82"/>
      <c r="D487" s="82"/>
      <c r="E487" s="82"/>
      <c r="F487" s="82"/>
      <c r="G487" s="82"/>
      <c r="H487" s="82"/>
      <c r="I487" s="82"/>
      <c r="J487" s="82"/>
      <c r="K487" s="82"/>
    </row>
    <row r="488" spans="1:11" ht="14.25" customHeight="1" x14ac:dyDescent="0.25">
      <c r="A488" s="82"/>
      <c r="B488" s="82"/>
      <c r="C488" s="82"/>
      <c r="D488" s="82"/>
      <c r="E488" s="82"/>
      <c r="F488" s="82"/>
      <c r="G488" s="82"/>
      <c r="H488" s="82"/>
      <c r="I488" s="82"/>
      <c r="J488" s="82"/>
      <c r="K488" s="82"/>
    </row>
    <row r="489" spans="1:11" ht="14.25" customHeight="1" x14ac:dyDescent="0.25">
      <c r="A489" s="82"/>
      <c r="B489" s="82"/>
      <c r="C489" s="82"/>
      <c r="D489" s="82"/>
      <c r="E489" s="82"/>
      <c r="F489" s="82"/>
      <c r="G489" s="82"/>
      <c r="H489" s="82"/>
      <c r="I489" s="82"/>
      <c r="J489" s="82"/>
      <c r="K489" s="82"/>
    </row>
    <row r="490" spans="1:11" ht="14.25" customHeight="1" x14ac:dyDescent="0.25">
      <c r="A490" s="82"/>
      <c r="B490" s="82"/>
      <c r="C490" s="82"/>
      <c r="D490" s="82"/>
      <c r="E490" s="82"/>
      <c r="F490" s="82"/>
      <c r="G490" s="82"/>
      <c r="H490" s="82"/>
      <c r="I490" s="82"/>
      <c r="J490" s="82"/>
      <c r="K490" s="82"/>
    </row>
    <row r="491" spans="1:11" ht="14.25" customHeight="1" x14ac:dyDescent="0.25">
      <c r="A491" s="82"/>
      <c r="B491" s="82"/>
      <c r="C491" s="82"/>
      <c r="D491" s="82"/>
      <c r="E491" s="82"/>
      <c r="F491" s="82"/>
      <c r="G491" s="82"/>
      <c r="H491" s="82"/>
      <c r="I491" s="82"/>
      <c r="J491" s="82"/>
      <c r="K491" s="82"/>
    </row>
    <row r="492" spans="1:11" ht="14.25" customHeight="1" x14ac:dyDescent="0.25">
      <c r="A492" s="82"/>
      <c r="B492" s="82"/>
      <c r="C492" s="82"/>
      <c r="D492" s="82"/>
      <c r="E492" s="82"/>
      <c r="F492" s="82"/>
      <c r="G492" s="82"/>
      <c r="H492" s="82"/>
      <c r="I492" s="82"/>
      <c r="J492" s="82"/>
      <c r="K492" s="82"/>
    </row>
    <row r="493" spans="1:11" ht="14.25" customHeight="1" x14ac:dyDescent="0.25">
      <c r="A493" s="82"/>
      <c r="B493" s="82"/>
      <c r="C493" s="82"/>
      <c r="D493" s="82"/>
      <c r="E493" s="82"/>
      <c r="F493" s="82"/>
      <c r="G493" s="82"/>
      <c r="H493" s="82"/>
      <c r="I493" s="82"/>
      <c r="J493" s="82"/>
      <c r="K493" s="82"/>
    </row>
    <row r="494" spans="1:11" ht="14.25" customHeight="1" x14ac:dyDescent="0.25">
      <c r="A494" s="82"/>
      <c r="B494" s="82"/>
      <c r="C494" s="82"/>
      <c r="D494" s="82"/>
      <c r="E494" s="82"/>
      <c r="F494" s="82"/>
      <c r="G494" s="82"/>
      <c r="H494" s="82"/>
      <c r="I494" s="82"/>
      <c r="J494" s="82"/>
      <c r="K494" s="82"/>
    </row>
    <row r="495" spans="1:11" ht="14.25" customHeight="1" x14ac:dyDescent="0.25">
      <c r="A495" s="82"/>
      <c r="B495" s="82"/>
      <c r="C495" s="82"/>
      <c r="D495" s="82"/>
      <c r="E495" s="82"/>
      <c r="F495" s="82"/>
      <c r="G495" s="82"/>
      <c r="H495" s="82"/>
      <c r="I495" s="82"/>
      <c r="J495" s="82"/>
      <c r="K495" s="82"/>
    </row>
    <row r="496" spans="1:11" ht="14.25" customHeight="1" x14ac:dyDescent="0.25">
      <c r="A496" s="82"/>
      <c r="B496" s="82"/>
      <c r="C496" s="82"/>
      <c r="D496" s="82"/>
      <c r="E496" s="82"/>
      <c r="F496" s="82"/>
      <c r="G496" s="82"/>
      <c r="H496" s="82"/>
      <c r="I496" s="82"/>
      <c r="J496" s="82"/>
      <c r="K496" s="82"/>
    </row>
    <row r="497" spans="1:11" ht="14.25" customHeight="1" x14ac:dyDescent="0.25">
      <c r="A497" s="82"/>
      <c r="B497" s="82"/>
      <c r="C497" s="82"/>
      <c r="D497" s="82"/>
      <c r="E497" s="82"/>
      <c r="F497" s="82"/>
      <c r="G497" s="82"/>
      <c r="H497" s="82"/>
      <c r="I497" s="82"/>
      <c r="J497" s="82"/>
      <c r="K497" s="82"/>
    </row>
    <row r="498" spans="1:11" ht="14.25" customHeight="1" x14ac:dyDescent="0.25">
      <c r="A498" s="82"/>
      <c r="B498" s="82"/>
      <c r="C498" s="82"/>
      <c r="D498" s="82"/>
      <c r="E498" s="82"/>
      <c r="F498" s="82"/>
      <c r="G498" s="82"/>
      <c r="H498" s="82"/>
      <c r="I498" s="82"/>
      <c r="J498" s="82"/>
      <c r="K498" s="82"/>
    </row>
    <row r="499" spans="1:11" ht="14.25" customHeight="1" x14ac:dyDescent="0.25">
      <c r="A499" s="82"/>
      <c r="B499" s="82"/>
      <c r="C499" s="82"/>
      <c r="D499" s="82"/>
      <c r="E499" s="82"/>
      <c r="F499" s="82"/>
      <c r="G499" s="82"/>
      <c r="H499" s="82"/>
      <c r="I499" s="82"/>
      <c r="J499" s="82"/>
      <c r="K499" s="82"/>
    </row>
    <row r="500" spans="1:11" ht="14.25" customHeight="1" x14ac:dyDescent="0.25">
      <c r="A500" s="82"/>
      <c r="B500" s="82"/>
      <c r="C500" s="82"/>
      <c r="D500" s="82"/>
      <c r="E500" s="82"/>
      <c r="F500" s="82"/>
      <c r="G500" s="82"/>
      <c r="H500" s="82"/>
      <c r="I500" s="82"/>
      <c r="J500" s="82"/>
      <c r="K500" s="82"/>
    </row>
    <row r="501" spans="1:11" ht="14.25" customHeight="1" x14ac:dyDescent="0.25">
      <c r="A501" s="82"/>
      <c r="B501" s="82"/>
      <c r="C501" s="82"/>
      <c r="D501" s="82"/>
      <c r="E501" s="82"/>
      <c r="F501" s="82"/>
      <c r="G501" s="82"/>
      <c r="H501" s="82"/>
      <c r="I501" s="82"/>
      <c r="J501" s="82"/>
      <c r="K501" s="82"/>
    </row>
    <row r="502" spans="1:11" ht="14.25" customHeight="1" x14ac:dyDescent="0.25">
      <c r="A502" s="82"/>
      <c r="B502" s="82"/>
      <c r="C502" s="82"/>
      <c r="D502" s="82"/>
      <c r="E502" s="82"/>
      <c r="F502" s="82"/>
      <c r="G502" s="82"/>
      <c r="H502" s="82"/>
      <c r="I502" s="82"/>
      <c r="J502" s="82"/>
      <c r="K502" s="82"/>
    </row>
    <row r="503" spans="1:11" ht="14.25" customHeight="1" x14ac:dyDescent="0.25">
      <c r="A503" s="82"/>
      <c r="B503" s="82"/>
      <c r="C503" s="82"/>
      <c r="D503" s="82"/>
      <c r="E503" s="82"/>
      <c r="F503" s="82"/>
      <c r="G503" s="82"/>
      <c r="H503" s="82"/>
      <c r="I503" s="82"/>
      <c r="J503" s="82"/>
      <c r="K503" s="82"/>
    </row>
    <row r="504" spans="1:11" ht="14.25" customHeight="1" x14ac:dyDescent="0.25">
      <c r="A504" s="82"/>
      <c r="B504" s="82"/>
      <c r="C504" s="82"/>
      <c r="D504" s="82"/>
      <c r="E504" s="82"/>
      <c r="F504" s="82"/>
      <c r="G504" s="82"/>
      <c r="H504" s="82"/>
      <c r="I504" s="82"/>
      <c r="J504" s="82"/>
      <c r="K504" s="82"/>
    </row>
    <row r="505" spans="1:11" ht="14.25" customHeight="1" x14ac:dyDescent="0.25">
      <c r="A505" s="82"/>
      <c r="B505" s="82"/>
      <c r="C505" s="82"/>
      <c r="D505" s="82"/>
      <c r="E505" s="82"/>
      <c r="F505" s="82"/>
      <c r="G505" s="82"/>
      <c r="H505" s="82"/>
      <c r="I505" s="82"/>
      <c r="J505" s="82"/>
      <c r="K505" s="82"/>
    </row>
    <row r="506" spans="1:11" ht="14.25" customHeight="1" x14ac:dyDescent="0.25">
      <c r="A506" s="82"/>
      <c r="B506" s="82"/>
      <c r="C506" s="82"/>
      <c r="D506" s="82"/>
      <c r="E506" s="82"/>
      <c r="F506" s="82"/>
      <c r="G506" s="82"/>
      <c r="H506" s="82"/>
      <c r="I506" s="82"/>
      <c r="J506" s="82"/>
      <c r="K506" s="82"/>
    </row>
    <row r="507" spans="1:11" ht="14.25" customHeight="1" x14ac:dyDescent="0.25">
      <c r="A507" s="82"/>
      <c r="B507" s="82"/>
      <c r="C507" s="82"/>
      <c r="D507" s="82"/>
      <c r="E507" s="82"/>
      <c r="F507" s="82"/>
      <c r="G507" s="82"/>
      <c r="H507" s="82"/>
      <c r="I507" s="82"/>
      <c r="J507" s="82"/>
      <c r="K507" s="82"/>
    </row>
    <row r="508" spans="1:11" ht="14.25" customHeight="1" x14ac:dyDescent="0.25">
      <c r="A508" s="82"/>
      <c r="B508" s="82"/>
      <c r="C508" s="82"/>
      <c r="D508" s="82"/>
      <c r="E508" s="82"/>
      <c r="F508" s="82"/>
      <c r="G508" s="82"/>
      <c r="H508" s="82"/>
      <c r="I508" s="82"/>
      <c r="J508" s="82"/>
      <c r="K508" s="82"/>
    </row>
    <row r="509" spans="1:11" ht="14.25" customHeight="1" x14ac:dyDescent="0.25">
      <c r="A509" s="82"/>
      <c r="B509" s="82"/>
      <c r="C509" s="82"/>
      <c r="D509" s="82"/>
      <c r="E509" s="82"/>
      <c r="F509" s="82"/>
      <c r="G509" s="82"/>
      <c r="H509" s="82"/>
      <c r="I509" s="82"/>
      <c r="J509" s="82"/>
      <c r="K509" s="82"/>
    </row>
    <row r="510" spans="1:11" ht="14.25" customHeight="1" x14ac:dyDescent="0.25">
      <c r="A510" s="82"/>
      <c r="B510" s="82"/>
      <c r="C510" s="82"/>
      <c r="D510" s="82"/>
      <c r="E510" s="82"/>
      <c r="F510" s="82"/>
      <c r="G510" s="82"/>
      <c r="H510" s="82"/>
      <c r="I510" s="82"/>
      <c r="J510" s="82"/>
      <c r="K510" s="82"/>
    </row>
    <row r="511" spans="1:11" ht="14.25" customHeight="1" x14ac:dyDescent="0.25">
      <c r="A511" s="82"/>
      <c r="B511" s="82"/>
      <c r="C511" s="82"/>
      <c r="D511" s="82"/>
      <c r="E511" s="82"/>
      <c r="F511" s="82"/>
      <c r="G511" s="82"/>
      <c r="H511" s="82"/>
      <c r="I511" s="82"/>
      <c r="J511" s="82"/>
      <c r="K511" s="82"/>
    </row>
    <row r="512" spans="1:11" ht="14.25" customHeight="1" x14ac:dyDescent="0.25">
      <c r="A512" s="82"/>
      <c r="B512" s="82"/>
      <c r="C512" s="82"/>
      <c r="D512" s="82"/>
      <c r="E512" s="82"/>
      <c r="F512" s="82"/>
      <c r="G512" s="82"/>
      <c r="H512" s="82"/>
      <c r="I512" s="82"/>
      <c r="J512" s="82"/>
      <c r="K512" s="82"/>
    </row>
    <row r="513" spans="1:11" ht="14.25" customHeight="1" x14ac:dyDescent="0.25">
      <c r="A513" s="82"/>
      <c r="B513" s="82"/>
      <c r="C513" s="82"/>
      <c r="D513" s="82"/>
      <c r="E513" s="82"/>
      <c r="F513" s="82"/>
      <c r="G513" s="82"/>
      <c r="H513" s="82"/>
      <c r="I513" s="82"/>
      <c r="J513" s="82"/>
      <c r="K513" s="82"/>
    </row>
    <row r="514" spans="1:11" ht="14.25" customHeight="1" x14ac:dyDescent="0.25">
      <c r="A514" s="82"/>
      <c r="B514" s="82"/>
      <c r="C514" s="82"/>
      <c r="D514" s="82"/>
      <c r="E514" s="82"/>
      <c r="F514" s="82"/>
      <c r="G514" s="82"/>
      <c r="H514" s="82"/>
      <c r="I514" s="82"/>
      <c r="J514" s="82"/>
      <c r="K514" s="82"/>
    </row>
    <row r="515" spans="1:11" ht="14.25" customHeight="1" x14ac:dyDescent="0.25">
      <c r="A515" s="82"/>
      <c r="B515" s="82"/>
      <c r="C515" s="82"/>
      <c r="D515" s="82"/>
      <c r="E515" s="82"/>
      <c r="F515" s="82"/>
      <c r="G515" s="82"/>
      <c r="H515" s="82"/>
      <c r="I515" s="82"/>
      <c r="J515" s="82"/>
      <c r="K515" s="82"/>
    </row>
    <row r="516" spans="1:11" ht="14.25" customHeight="1" x14ac:dyDescent="0.25">
      <c r="A516" s="82"/>
      <c r="B516" s="82"/>
      <c r="C516" s="82"/>
      <c r="D516" s="82"/>
      <c r="E516" s="82"/>
      <c r="F516" s="82"/>
      <c r="G516" s="82"/>
      <c r="H516" s="82"/>
      <c r="I516" s="82"/>
      <c r="J516" s="82"/>
      <c r="K516" s="82"/>
    </row>
    <row r="517" spans="1:11" ht="14.25" customHeight="1" x14ac:dyDescent="0.25">
      <c r="A517" s="82"/>
      <c r="B517" s="82"/>
      <c r="C517" s="82"/>
      <c r="D517" s="82"/>
      <c r="E517" s="82"/>
      <c r="F517" s="82"/>
      <c r="G517" s="82"/>
      <c r="H517" s="82"/>
      <c r="I517" s="82"/>
      <c r="J517" s="82"/>
      <c r="K517" s="82"/>
    </row>
    <row r="518" spans="1:11" ht="14.25" customHeight="1" x14ac:dyDescent="0.25">
      <c r="A518" s="82"/>
      <c r="B518" s="82"/>
      <c r="C518" s="82"/>
      <c r="D518" s="82"/>
      <c r="E518" s="82"/>
      <c r="F518" s="82"/>
      <c r="G518" s="82"/>
      <c r="H518" s="82"/>
      <c r="I518" s="82"/>
      <c r="J518" s="82"/>
      <c r="K518" s="82"/>
    </row>
    <row r="519" spans="1:11" ht="14.25" customHeight="1" x14ac:dyDescent="0.25">
      <c r="A519" s="82"/>
      <c r="B519" s="82"/>
      <c r="C519" s="82"/>
      <c r="D519" s="82"/>
      <c r="E519" s="82"/>
      <c r="F519" s="82"/>
      <c r="G519" s="82"/>
      <c r="H519" s="82"/>
      <c r="I519" s="82"/>
      <c r="J519" s="82"/>
      <c r="K519" s="82"/>
    </row>
    <row r="520" spans="1:11" ht="14.25" customHeight="1" x14ac:dyDescent="0.25">
      <c r="A520" s="82"/>
      <c r="B520" s="82"/>
      <c r="C520" s="82"/>
      <c r="D520" s="82"/>
      <c r="E520" s="82"/>
      <c r="F520" s="82"/>
      <c r="G520" s="82"/>
      <c r="H520" s="82"/>
      <c r="I520" s="82"/>
      <c r="J520" s="82"/>
      <c r="K520" s="82"/>
    </row>
    <row r="521" spans="1:11" ht="14.25" customHeight="1" x14ac:dyDescent="0.25">
      <c r="A521" s="82"/>
      <c r="B521" s="82"/>
      <c r="C521" s="82"/>
      <c r="D521" s="82"/>
      <c r="E521" s="82"/>
      <c r="F521" s="82"/>
      <c r="G521" s="82"/>
      <c r="H521" s="82"/>
      <c r="I521" s="82"/>
      <c r="J521" s="82"/>
      <c r="K521" s="82"/>
    </row>
    <row r="522" spans="1:11" ht="14.25" customHeight="1" x14ac:dyDescent="0.25">
      <c r="A522" s="82"/>
      <c r="B522" s="82"/>
      <c r="C522" s="82"/>
      <c r="D522" s="82"/>
      <c r="E522" s="82"/>
      <c r="F522" s="82"/>
      <c r="G522" s="82"/>
      <c r="H522" s="82"/>
      <c r="I522" s="82"/>
      <c r="J522" s="82"/>
      <c r="K522" s="82"/>
    </row>
    <row r="523" spans="1:11" ht="14.25" customHeight="1" x14ac:dyDescent="0.25">
      <c r="A523" s="82"/>
      <c r="B523" s="82"/>
      <c r="C523" s="82"/>
      <c r="D523" s="82"/>
      <c r="E523" s="82"/>
      <c r="F523" s="82"/>
      <c r="G523" s="82"/>
      <c r="H523" s="82"/>
      <c r="I523" s="82"/>
      <c r="J523" s="82"/>
      <c r="K523" s="82"/>
    </row>
    <row r="524" spans="1:11" ht="14.25" customHeight="1" x14ac:dyDescent="0.25">
      <c r="A524" s="82"/>
      <c r="B524" s="82"/>
      <c r="C524" s="82"/>
      <c r="D524" s="82"/>
      <c r="E524" s="82"/>
      <c r="F524" s="82"/>
      <c r="G524" s="82"/>
      <c r="H524" s="82"/>
      <c r="I524" s="82"/>
      <c r="J524" s="82"/>
      <c r="K524" s="82"/>
    </row>
    <row r="525" spans="1:11" ht="14.25" customHeight="1" x14ac:dyDescent="0.25">
      <c r="A525" s="82"/>
      <c r="B525" s="82"/>
      <c r="C525" s="82"/>
      <c r="D525" s="82"/>
      <c r="E525" s="82"/>
      <c r="F525" s="82"/>
      <c r="G525" s="82"/>
      <c r="H525" s="82"/>
      <c r="I525" s="82"/>
      <c r="J525" s="82"/>
      <c r="K525" s="82"/>
    </row>
    <row r="526" spans="1:11" ht="14.25" customHeight="1" x14ac:dyDescent="0.25">
      <c r="A526" s="82"/>
      <c r="B526" s="82"/>
      <c r="C526" s="82"/>
      <c r="D526" s="82"/>
      <c r="E526" s="82"/>
      <c r="F526" s="82"/>
      <c r="G526" s="82"/>
      <c r="H526" s="82"/>
      <c r="I526" s="82"/>
      <c r="J526" s="82"/>
      <c r="K526" s="82"/>
    </row>
    <row r="527" spans="1:11" ht="14.25" customHeight="1" x14ac:dyDescent="0.25">
      <c r="A527" s="82"/>
      <c r="B527" s="82"/>
      <c r="C527" s="82"/>
      <c r="D527" s="82"/>
      <c r="E527" s="82"/>
      <c r="F527" s="82"/>
      <c r="G527" s="82"/>
      <c r="H527" s="82"/>
      <c r="I527" s="82"/>
      <c r="J527" s="82"/>
      <c r="K527" s="82"/>
    </row>
    <row r="528" spans="1:11" ht="14.25" customHeight="1" x14ac:dyDescent="0.25">
      <c r="A528" s="82"/>
      <c r="B528" s="82"/>
      <c r="C528" s="82"/>
      <c r="D528" s="82"/>
      <c r="E528" s="82"/>
      <c r="F528" s="82"/>
      <c r="G528" s="82"/>
      <c r="H528" s="82"/>
      <c r="I528" s="82"/>
      <c r="J528" s="82"/>
      <c r="K528" s="82"/>
    </row>
    <row r="529" spans="1:11" ht="14.25" customHeight="1" x14ac:dyDescent="0.25">
      <c r="A529" s="82"/>
      <c r="B529" s="82"/>
      <c r="C529" s="82"/>
      <c r="D529" s="82"/>
      <c r="E529" s="82"/>
      <c r="F529" s="82"/>
      <c r="G529" s="82"/>
      <c r="H529" s="82"/>
      <c r="I529" s="82"/>
      <c r="J529" s="82"/>
      <c r="K529" s="82"/>
    </row>
    <row r="530" spans="1:11" ht="14.25" customHeight="1" x14ac:dyDescent="0.25">
      <c r="A530" s="82"/>
      <c r="B530" s="82"/>
      <c r="C530" s="82"/>
      <c r="D530" s="82"/>
      <c r="E530" s="82"/>
      <c r="F530" s="82"/>
      <c r="G530" s="82"/>
      <c r="H530" s="82"/>
      <c r="I530" s="82"/>
      <c r="J530" s="82"/>
      <c r="K530" s="82"/>
    </row>
    <row r="531" spans="1:11" ht="14.25" customHeight="1" x14ac:dyDescent="0.25">
      <c r="A531" s="82"/>
      <c r="B531" s="82"/>
      <c r="C531" s="82"/>
      <c r="D531" s="82"/>
      <c r="E531" s="82"/>
      <c r="F531" s="82"/>
      <c r="G531" s="82"/>
      <c r="H531" s="82"/>
      <c r="I531" s="82"/>
      <c r="J531" s="82"/>
      <c r="K531" s="82"/>
    </row>
    <row r="532" spans="1:11" ht="14.25" customHeight="1" x14ac:dyDescent="0.25">
      <c r="A532" s="82"/>
      <c r="B532" s="82"/>
      <c r="C532" s="82"/>
      <c r="D532" s="82"/>
      <c r="E532" s="82"/>
      <c r="F532" s="82"/>
      <c r="G532" s="82"/>
      <c r="H532" s="82"/>
      <c r="I532" s="82"/>
      <c r="J532" s="82"/>
      <c r="K532" s="82"/>
    </row>
    <row r="533" spans="1:11" ht="14.25" customHeight="1" x14ac:dyDescent="0.25">
      <c r="A533" s="82"/>
      <c r="B533" s="82"/>
      <c r="C533" s="82"/>
      <c r="D533" s="82"/>
      <c r="E533" s="82"/>
      <c r="F533" s="82"/>
      <c r="G533" s="82"/>
      <c r="H533" s="82"/>
      <c r="I533" s="82"/>
      <c r="J533" s="82"/>
      <c r="K533" s="82"/>
    </row>
    <row r="534" spans="1:11" ht="14.25" customHeight="1" x14ac:dyDescent="0.25">
      <c r="A534" s="82"/>
      <c r="B534" s="82"/>
      <c r="C534" s="82"/>
      <c r="D534" s="82"/>
      <c r="E534" s="82"/>
      <c r="F534" s="82"/>
      <c r="G534" s="82"/>
      <c r="H534" s="82"/>
      <c r="I534" s="82"/>
      <c r="J534" s="82"/>
      <c r="K534" s="82"/>
    </row>
    <row r="535" spans="1:11" ht="14.25" customHeight="1" x14ac:dyDescent="0.25">
      <c r="A535" s="82"/>
      <c r="B535" s="82"/>
      <c r="C535" s="82"/>
      <c r="D535" s="82"/>
      <c r="E535" s="82"/>
      <c r="F535" s="82"/>
      <c r="G535" s="82"/>
      <c r="H535" s="82"/>
      <c r="I535" s="82"/>
      <c r="J535" s="82"/>
      <c r="K535" s="82"/>
    </row>
    <row r="536" spans="1:11" ht="14.25" customHeight="1" x14ac:dyDescent="0.25">
      <c r="A536" s="82"/>
      <c r="B536" s="82"/>
      <c r="C536" s="82"/>
      <c r="D536" s="82"/>
      <c r="E536" s="82"/>
      <c r="F536" s="82"/>
      <c r="G536" s="82"/>
      <c r="H536" s="82"/>
      <c r="I536" s="82"/>
      <c r="J536" s="82"/>
      <c r="K536" s="82"/>
    </row>
    <row r="537" spans="1:11" ht="14.25" customHeight="1" x14ac:dyDescent="0.25">
      <c r="A537" s="82"/>
      <c r="B537" s="82"/>
      <c r="C537" s="82"/>
      <c r="D537" s="82"/>
      <c r="E537" s="82"/>
      <c r="F537" s="82"/>
      <c r="G537" s="82"/>
      <c r="H537" s="82"/>
      <c r="I537" s="82"/>
      <c r="J537" s="82"/>
      <c r="K537" s="82"/>
    </row>
    <row r="538" spans="1:11" ht="14.25" customHeight="1" x14ac:dyDescent="0.25">
      <c r="A538" s="82"/>
      <c r="B538" s="82"/>
      <c r="C538" s="82"/>
      <c r="D538" s="82"/>
      <c r="E538" s="82"/>
      <c r="F538" s="82"/>
      <c r="G538" s="82"/>
      <c r="H538" s="82"/>
      <c r="I538" s="82"/>
      <c r="J538" s="82"/>
      <c r="K538" s="82"/>
    </row>
    <row r="539" spans="1:11" ht="14.25" customHeight="1" x14ac:dyDescent="0.25">
      <c r="A539" s="82"/>
      <c r="B539" s="82"/>
      <c r="C539" s="82"/>
      <c r="D539" s="82"/>
      <c r="E539" s="82"/>
      <c r="F539" s="82"/>
      <c r="G539" s="82"/>
      <c r="H539" s="82"/>
      <c r="I539" s="82"/>
      <c r="J539" s="82"/>
      <c r="K539" s="82"/>
    </row>
    <row r="540" spans="1:11" ht="14.25" customHeight="1" x14ac:dyDescent="0.25">
      <c r="A540" s="82"/>
      <c r="B540" s="82"/>
      <c r="C540" s="82"/>
      <c r="D540" s="82"/>
      <c r="E540" s="82"/>
      <c r="F540" s="82"/>
      <c r="G540" s="82"/>
      <c r="H540" s="82"/>
      <c r="I540" s="82"/>
      <c r="J540" s="82"/>
      <c r="K540" s="82"/>
    </row>
    <row r="541" spans="1:11" ht="14.25" customHeight="1" x14ac:dyDescent="0.25">
      <c r="A541" s="82"/>
      <c r="B541" s="82"/>
      <c r="C541" s="82"/>
      <c r="D541" s="82"/>
      <c r="E541" s="82"/>
      <c r="F541" s="82"/>
      <c r="G541" s="82"/>
      <c r="H541" s="82"/>
      <c r="I541" s="82"/>
      <c r="J541" s="82"/>
      <c r="K541" s="82"/>
    </row>
    <row r="542" spans="1:11" ht="14.25" customHeight="1" x14ac:dyDescent="0.25">
      <c r="A542" s="82"/>
      <c r="B542" s="82"/>
      <c r="C542" s="82"/>
      <c r="D542" s="82"/>
      <c r="E542" s="82"/>
      <c r="F542" s="82"/>
      <c r="G542" s="82"/>
      <c r="H542" s="82"/>
      <c r="I542" s="82"/>
      <c r="J542" s="82"/>
      <c r="K542" s="82"/>
    </row>
    <row r="543" spans="1:11" ht="14.25" customHeight="1" x14ac:dyDescent="0.25">
      <c r="A543" s="82"/>
      <c r="B543" s="82"/>
      <c r="C543" s="82"/>
      <c r="D543" s="82"/>
      <c r="E543" s="82"/>
      <c r="F543" s="82"/>
      <c r="G543" s="82"/>
      <c r="H543" s="82"/>
      <c r="I543" s="82"/>
      <c r="J543" s="82"/>
      <c r="K543" s="82"/>
    </row>
    <row r="544" spans="1:11" ht="14.25" customHeight="1" x14ac:dyDescent="0.25">
      <c r="A544" s="82"/>
      <c r="B544" s="82"/>
      <c r="C544" s="82"/>
      <c r="D544" s="82"/>
      <c r="E544" s="82"/>
      <c r="F544" s="82"/>
      <c r="G544" s="82"/>
      <c r="H544" s="82"/>
      <c r="I544" s="82"/>
      <c r="J544" s="82"/>
      <c r="K544" s="82"/>
    </row>
    <row r="545" spans="1:11" ht="14.25" customHeight="1" x14ac:dyDescent="0.25">
      <c r="A545" s="82"/>
      <c r="B545" s="82"/>
      <c r="C545" s="82"/>
      <c r="D545" s="82"/>
      <c r="E545" s="82"/>
      <c r="F545" s="82"/>
      <c r="G545" s="82"/>
      <c r="H545" s="82"/>
      <c r="I545" s="82"/>
      <c r="J545" s="82"/>
      <c r="K545" s="82"/>
    </row>
    <row r="546" spans="1:11" ht="14.25" customHeight="1" x14ac:dyDescent="0.25">
      <c r="A546" s="82"/>
      <c r="B546" s="82"/>
      <c r="C546" s="82"/>
      <c r="D546" s="82"/>
      <c r="E546" s="82"/>
      <c r="F546" s="82"/>
      <c r="G546" s="82"/>
      <c r="H546" s="82"/>
      <c r="I546" s="82"/>
      <c r="J546" s="82"/>
      <c r="K546" s="82"/>
    </row>
    <row r="547" spans="1:11" ht="14.25" customHeight="1" x14ac:dyDescent="0.25">
      <c r="A547" s="82"/>
      <c r="B547" s="82"/>
      <c r="C547" s="82"/>
      <c r="D547" s="82"/>
      <c r="E547" s="82"/>
      <c r="F547" s="82"/>
      <c r="G547" s="82"/>
      <c r="H547" s="82"/>
      <c r="I547" s="82"/>
      <c r="J547" s="82"/>
      <c r="K547" s="82"/>
    </row>
    <row r="548" spans="1:11" ht="14.25" customHeight="1" x14ac:dyDescent="0.25">
      <c r="A548" s="82"/>
      <c r="B548" s="82"/>
      <c r="C548" s="82"/>
      <c r="D548" s="82"/>
      <c r="E548" s="82"/>
      <c r="F548" s="82"/>
      <c r="G548" s="82"/>
      <c r="H548" s="82"/>
      <c r="I548" s="82"/>
      <c r="J548" s="82"/>
      <c r="K548" s="82"/>
    </row>
    <row r="549" spans="1:11" ht="14.25" customHeight="1" x14ac:dyDescent="0.25">
      <c r="A549" s="82"/>
      <c r="B549" s="82"/>
      <c r="C549" s="82"/>
      <c r="D549" s="82"/>
      <c r="E549" s="82"/>
      <c r="F549" s="82"/>
      <c r="G549" s="82"/>
      <c r="H549" s="82"/>
      <c r="I549" s="82"/>
      <c r="J549" s="82"/>
      <c r="K549" s="82"/>
    </row>
    <row r="550" spans="1:11" ht="14.25" customHeight="1" x14ac:dyDescent="0.25">
      <c r="A550" s="82"/>
      <c r="B550" s="82"/>
      <c r="C550" s="82"/>
      <c r="D550" s="82"/>
      <c r="E550" s="82"/>
      <c r="F550" s="82"/>
      <c r="G550" s="82"/>
      <c r="H550" s="82"/>
      <c r="I550" s="82"/>
      <c r="J550" s="82"/>
      <c r="K550" s="82"/>
    </row>
    <row r="551" spans="1:11" ht="14.25" customHeight="1" x14ac:dyDescent="0.25">
      <c r="A551" s="82"/>
      <c r="B551" s="82"/>
      <c r="C551" s="82"/>
      <c r="D551" s="82"/>
      <c r="E551" s="82"/>
      <c r="F551" s="82"/>
      <c r="G551" s="82"/>
      <c r="H551" s="82"/>
      <c r="I551" s="82"/>
      <c r="J551" s="82"/>
      <c r="K551" s="82"/>
    </row>
    <row r="552" spans="1:11" ht="14.25" customHeight="1" x14ac:dyDescent="0.25">
      <c r="A552" s="82"/>
      <c r="B552" s="82"/>
      <c r="C552" s="82"/>
      <c r="D552" s="82"/>
      <c r="E552" s="82"/>
      <c r="F552" s="82"/>
      <c r="G552" s="82"/>
      <c r="H552" s="82"/>
      <c r="I552" s="82"/>
      <c r="J552" s="82"/>
      <c r="K552" s="82"/>
    </row>
    <row r="553" spans="1:11" ht="14.25" customHeight="1" x14ac:dyDescent="0.25">
      <c r="A553" s="82"/>
      <c r="B553" s="82"/>
      <c r="C553" s="82"/>
      <c r="D553" s="82"/>
      <c r="E553" s="82"/>
      <c r="F553" s="82"/>
      <c r="G553" s="82"/>
      <c r="H553" s="82"/>
      <c r="I553" s="82"/>
      <c r="J553" s="82"/>
      <c r="K553" s="82"/>
    </row>
    <row r="554" spans="1:11" ht="14.25" customHeight="1" x14ac:dyDescent="0.25">
      <c r="A554" s="82"/>
      <c r="B554" s="82"/>
      <c r="C554" s="82"/>
      <c r="D554" s="82"/>
      <c r="E554" s="82"/>
      <c r="F554" s="82"/>
      <c r="G554" s="82"/>
      <c r="H554" s="82"/>
      <c r="I554" s="82"/>
      <c r="J554" s="82"/>
      <c r="K554" s="82"/>
    </row>
    <row r="555" spans="1:11" ht="14.25" customHeight="1" x14ac:dyDescent="0.25">
      <c r="A555" s="82"/>
      <c r="B555" s="82"/>
      <c r="C555" s="82"/>
      <c r="D555" s="82"/>
      <c r="E555" s="82"/>
      <c r="F555" s="82"/>
      <c r="G555" s="82"/>
      <c r="H555" s="82"/>
      <c r="I555" s="82"/>
      <c r="J555" s="82"/>
      <c r="K555" s="82"/>
    </row>
    <row r="556" spans="1:11" ht="14.25" customHeight="1" x14ac:dyDescent="0.25">
      <c r="A556" s="82"/>
      <c r="B556" s="82"/>
      <c r="C556" s="82"/>
      <c r="D556" s="82"/>
      <c r="E556" s="82"/>
      <c r="F556" s="82"/>
      <c r="G556" s="82"/>
      <c r="H556" s="82"/>
      <c r="I556" s="82"/>
      <c r="J556" s="82"/>
      <c r="K556" s="82"/>
    </row>
    <row r="557" spans="1:11" ht="14.25" customHeight="1" x14ac:dyDescent="0.25">
      <c r="A557" s="82"/>
      <c r="B557" s="82"/>
      <c r="C557" s="82"/>
      <c r="D557" s="82"/>
      <c r="E557" s="82"/>
      <c r="F557" s="82"/>
      <c r="G557" s="82"/>
      <c r="H557" s="82"/>
      <c r="I557" s="82"/>
      <c r="J557" s="82"/>
      <c r="K557" s="82"/>
    </row>
    <row r="558" spans="1:11" ht="14.25" customHeight="1" x14ac:dyDescent="0.25">
      <c r="A558" s="82"/>
      <c r="B558" s="82"/>
      <c r="C558" s="82"/>
      <c r="D558" s="82"/>
      <c r="E558" s="82"/>
      <c r="F558" s="82"/>
      <c r="G558" s="82"/>
      <c r="H558" s="82"/>
      <c r="I558" s="82"/>
      <c r="J558" s="82"/>
      <c r="K558" s="82"/>
    </row>
    <row r="559" spans="1:11" ht="14.25" customHeight="1" x14ac:dyDescent="0.25">
      <c r="A559" s="82"/>
      <c r="B559" s="82"/>
      <c r="C559" s="82"/>
      <c r="D559" s="82"/>
      <c r="E559" s="82"/>
      <c r="F559" s="82"/>
      <c r="G559" s="82"/>
      <c r="H559" s="82"/>
      <c r="I559" s="82"/>
      <c r="J559" s="82"/>
      <c r="K559" s="82"/>
    </row>
    <row r="560" spans="1:11" ht="14.25" customHeight="1" x14ac:dyDescent="0.25">
      <c r="A560" s="82"/>
      <c r="B560" s="82"/>
      <c r="C560" s="82"/>
      <c r="D560" s="82"/>
      <c r="E560" s="82"/>
      <c r="F560" s="82"/>
      <c r="G560" s="82"/>
      <c r="H560" s="82"/>
      <c r="I560" s="82"/>
      <c r="J560" s="82"/>
      <c r="K560" s="82"/>
    </row>
    <row r="561" spans="1:11" ht="14.25" customHeight="1" x14ac:dyDescent="0.25">
      <c r="A561" s="82"/>
      <c r="B561" s="82"/>
      <c r="C561" s="82"/>
      <c r="D561" s="82"/>
      <c r="E561" s="82"/>
      <c r="F561" s="82"/>
      <c r="G561" s="82"/>
      <c r="H561" s="82"/>
      <c r="I561" s="82"/>
      <c r="J561" s="82"/>
      <c r="K561" s="82"/>
    </row>
    <row r="562" spans="1:11" ht="14.25" customHeight="1" x14ac:dyDescent="0.25">
      <c r="A562" s="82"/>
      <c r="B562" s="82"/>
      <c r="C562" s="82"/>
      <c r="D562" s="82"/>
      <c r="E562" s="82"/>
      <c r="F562" s="82"/>
      <c r="G562" s="82"/>
      <c r="H562" s="82"/>
      <c r="I562" s="82"/>
      <c r="J562" s="82"/>
      <c r="K562" s="82"/>
    </row>
    <row r="563" spans="1:11" ht="14.25" customHeight="1" x14ac:dyDescent="0.25">
      <c r="A563" s="82"/>
      <c r="B563" s="82"/>
      <c r="C563" s="82"/>
      <c r="D563" s="82"/>
      <c r="E563" s="82"/>
      <c r="F563" s="82"/>
      <c r="G563" s="82"/>
      <c r="H563" s="82"/>
      <c r="I563" s="82"/>
      <c r="J563" s="82"/>
      <c r="K563" s="82"/>
    </row>
    <row r="564" spans="1:11" ht="14.25" customHeight="1" x14ac:dyDescent="0.25">
      <c r="A564" s="82"/>
      <c r="B564" s="82"/>
      <c r="C564" s="82"/>
      <c r="D564" s="82"/>
      <c r="E564" s="82"/>
      <c r="F564" s="82"/>
      <c r="G564" s="82"/>
      <c r="H564" s="82"/>
      <c r="I564" s="82"/>
      <c r="J564" s="82"/>
      <c r="K564" s="82"/>
    </row>
    <row r="565" spans="1:11" ht="14.25" customHeight="1" x14ac:dyDescent="0.25">
      <c r="A565" s="82"/>
      <c r="B565" s="82"/>
      <c r="C565" s="82"/>
      <c r="D565" s="82"/>
      <c r="E565" s="82"/>
      <c r="F565" s="82"/>
      <c r="G565" s="82"/>
      <c r="H565" s="82"/>
      <c r="I565" s="82"/>
      <c r="J565" s="82"/>
      <c r="K565" s="82"/>
    </row>
    <row r="566" spans="1:11" ht="14.25" customHeight="1" x14ac:dyDescent="0.25">
      <c r="A566" s="82"/>
      <c r="B566" s="82"/>
      <c r="C566" s="82"/>
      <c r="D566" s="82"/>
      <c r="E566" s="82"/>
      <c r="F566" s="82"/>
      <c r="G566" s="82"/>
      <c r="H566" s="82"/>
      <c r="I566" s="82"/>
      <c r="J566" s="82"/>
      <c r="K566" s="82"/>
    </row>
    <row r="567" spans="1:11" ht="14.25" customHeight="1" x14ac:dyDescent="0.25">
      <c r="A567" s="82"/>
      <c r="B567" s="82"/>
      <c r="C567" s="82"/>
      <c r="D567" s="82"/>
      <c r="E567" s="82"/>
      <c r="F567" s="82"/>
      <c r="G567" s="82"/>
      <c r="H567" s="82"/>
      <c r="I567" s="82"/>
      <c r="J567" s="82"/>
      <c r="K567" s="82"/>
    </row>
    <row r="568" spans="1:11" ht="14.25" customHeight="1" x14ac:dyDescent="0.25">
      <c r="A568" s="82"/>
      <c r="B568" s="82"/>
      <c r="C568" s="82"/>
      <c r="D568" s="82"/>
      <c r="E568" s="82"/>
      <c r="F568" s="82"/>
      <c r="G568" s="82"/>
      <c r="H568" s="82"/>
      <c r="I568" s="82"/>
      <c r="J568" s="82"/>
      <c r="K568" s="82"/>
    </row>
    <row r="569" spans="1:11" ht="14.25" customHeight="1" x14ac:dyDescent="0.25">
      <c r="A569" s="82"/>
      <c r="B569" s="82"/>
      <c r="C569" s="82"/>
      <c r="D569" s="82"/>
      <c r="E569" s="82"/>
      <c r="F569" s="82"/>
      <c r="G569" s="82"/>
      <c r="H569" s="82"/>
      <c r="I569" s="82"/>
      <c r="J569" s="82"/>
      <c r="K569" s="82"/>
    </row>
    <row r="570" spans="1:11" ht="14.25" customHeight="1" x14ac:dyDescent="0.25">
      <c r="A570" s="82"/>
      <c r="B570" s="82"/>
      <c r="C570" s="82"/>
      <c r="D570" s="82"/>
      <c r="E570" s="82"/>
      <c r="F570" s="82"/>
      <c r="G570" s="82"/>
      <c r="H570" s="82"/>
      <c r="I570" s="82"/>
      <c r="J570" s="82"/>
      <c r="K570" s="82"/>
    </row>
    <row r="571" spans="1:11" ht="14.25" customHeight="1" x14ac:dyDescent="0.25">
      <c r="A571" s="82"/>
      <c r="B571" s="82"/>
      <c r="C571" s="82"/>
      <c r="D571" s="82"/>
      <c r="E571" s="82"/>
      <c r="F571" s="82"/>
      <c r="G571" s="82"/>
      <c r="H571" s="82"/>
      <c r="I571" s="82"/>
      <c r="J571" s="82"/>
      <c r="K571" s="82"/>
    </row>
    <row r="572" spans="1:11" ht="14.25" customHeight="1" x14ac:dyDescent="0.25">
      <c r="A572" s="82"/>
      <c r="B572" s="82"/>
      <c r="C572" s="82"/>
      <c r="D572" s="82"/>
      <c r="E572" s="82"/>
      <c r="F572" s="82"/>
      <c r="G572" s="82"/>
      <c r="H572" s="82"/>
      <c r="I572" s="82"/>
      <c r="J572" s="82"/>
      <c r="K572" s="82"/>
    </row>
    <row r="573" spans="1:11" ht="14.25" customHeight="1" x14ac:dyDescent="0.25">
      <c r="A573" s="82"/>
      <c r="B573" s="82"/>
      <c r="C573" s="82"/>
      <c r="D573" s="82"/>
      <c r="E573" s="82"/>
      <c r="F573" s="82"/>
      <c r="G573" s="82"/>
      <c r="H573" s="82"/>
      <c r="I573" s="82"/>
      <c r="J573" s="82"/>
      <c r="K573" s="82"/>
    </row>
    <row r="574" spans="1:11" ht="14.25" customHeight="1" x14ac:dyDescent="0.25">
      <c r="A574" s="82"/>
      <c r="B574" s="82"/>
      <c r="C574" s="82"/>
      <c r="D574" s="82"/>
      <c r="E574" s="82"/>
      <c r="F574" s="82"/>
      <c r="G574" s="82"/>
      <c r="H574" s="82"/>
      <c r="I574" s="82"/>
      <c r="J574" s="82"/>
      <c r="K574" s="82"/>
    </row>
    <row r="575" spans="1:11" ht="14.25" customHeight="1" x14ac:dyDescent="0.25">
      <c r="A575" s="82"/>
      <c r="B575" s="82"/>
      <c r="C575" s="82"/>
      <c r="D575" s="82"/>
      <c r="E575" s="82"/>
      <c r="F575" s="82"/>
      <c r="G575" s="82"/>
      <c r="H575" s="82"/>
      <c r="I575" s="82"/>
      <c r="J575" s="82"/>
      <c r="K575" s="82"/>
    </row>
    <row r="576" spans="1:11" ht="14.25" customHeight="1" x14ac:dyDescent="0.25">
      <c r="A576" s="82"/>
      <c r="B576" s="82"/>
      <c r="C576" s="82"/>
      <c r="D576" s="82"/>
      <c r="E576" s="82"/>
      <c r="F576" s="82"/>
      <c r="G576" s="82"/>
      <c r="H576" s="82"/>
      <c r="I576" s="82"/>
      <c r="J576" s="82"/>
      <c r="K576" s="82"/>
    </row>
    <row r="577" spans="1:11" ht="14.25" customHeight="1" x14ac:dyDescent="0.25">
      <c r="A577" s="82"/>
      <c r="B577" s="82"/>
      <c r="C577" s="82"/>
      <c r="D577" s="82"/>
      <c r="E577" s="82"/>
      <c r="F577" s="82"/>
      <c r="G577" s="82"/>
      <c r="H577" s="82"/>
      <c r="I577" s="82"/>
      <c r="J577" s="82"/>
      <c r="K577" s="82"/>
    </row>
    <row r="578" spans="1:11" ht="14.25" customHeight="1" x14ac:dyDescent="0.25">
      <c r="A578" s="82"/>
      <c r="B578" s="82"/>
      <c r="C578" s="82"/>
      <c r="D578" s="82"/>
      <c r="E578" s="82"/>
      <c r="F578" s="82"/>
      <c r="G578" s="82"/>
      <c r="H578" s="82"/>
      <c r="I578" s="82"/>
      <c r="J578" s="82"/>
      <c r="K578" s="82"/>
    </row>
    <row r="579" spans="1:11" ht="14.25" customHeight="1" x14ac:dyDescent="0.25">
      <c r="A579" s="82"/>
      <c r="B579" s="82"/>
      <c r="C579" s="82"/>
      <c r="D579" s="82"/>
      <c r="E579" s="82"/>
      <c r="F579" s="82"/>
      <c r="G579" s="82"/>
      <c r="H579" s="82"/>
      <c r="I579" s="82"/>
      <c r="J579" s="82"/>
      <c r="K579" s="82"/>
    </row>
    <row r="580" spans="1:11" ht="14.25" customHeight="1" x14ac:dyDescent="0.25">
      <c r="A580" s="82"/>
      <c r="B580" s="82"/>
      <c r="C580" s="82"/>
      <c r="D580" s="82"/>
      <c r="E580" s="82"/>
      <c r="F580" s="82"/>
      <c r="G580" s="82"/>
      <c r="H580" s="82"/>
      <c r="I580" s="82"/>
      <c r="J580" s="82"/>
      <c r="K580" s="82"/>
    </row>
    <row r="581" spans="1:11" ht="14.25" customHeight="1" x14ac:dyDescent="0.25">
      <c r="A581" s="82"/>
      <c r="B581" s="82"/>
      <c r="C581" s="82"/>
      <c r="D581" s="82"/>
      <c r="E581" s="82"/>
      <c r="F581" s="82"/>
      <c r="G581" s="82"/>
      <c r="H581" s="82"/>
      <c r="I581" s="82"/>
      <c r="J581" s="82"/>
      <c r="K581" s="82"/>
    </row>
    <row r="582" spans="1:11" ht="14.25" customHeight="1" x14ac:dyDescent="0.25">
      <c r="A582" s="82"/>
      <c r="B582" s="82"/>
      <c r="C582" s="82"/>
      <c r="D582" s="82"/>
      <c r="E582" s="82"/>
      <c r="F582" s="82"/>
      <c r="G582" s="82"/>
      <c r="H582" s="82"/>
      <c r="I582" s="82"/>
      <c r="J582" s="82"/>
      <c r="K582" s="82"/>
    </row>
    <row r="583" spans="1:11" ht="14.25" customHeight="1" x14ac:dyDescent="0.25">
      <c r="A583" s="82"/>
      <c r="B583" s="82"/>
      <c r="C583" s="82"/>
      <c r="D583" s="82"/>
      <c r="E583" s="82"/>
      <c r="F583" s="82"/>
      <c r="G583" s="82"/>
      <c r="H583" s="82"/>
      <c r="I583" s="82"/>
      <c r="J583" s="82"/>
      <c r="K583" s="82"/>
    </row>
    <row r="584" spans="1:11" ht="14.25" customHeight="1" x14ac:dyDescent="0.25">
      <c r="A584" s="82"/>
      <c r="B584" s="82"/>
      <c r="C584" s="82"/>
      <c r="D584" s="82"/>
      <c r="E584" s="82"/>
      <c r="F584" s="82"/>
      <c r="G584" s="82"/>
      <c r="H584" s="82"/>
      <c r="I584" s="82"/>
      <c r="J584" s="82"/>
      <c r="K584" s="82"/>
    </row>
    <row r="585" spans="1:11" ht="14.25" customHeight="1" x14ac:dyDescent="0.25">
      <c r="A585" s="82"/>
      <c r="B585" s="82"/>
      <c r="C585" s="82"/>
      <c r="D585" s="82"/>
      <c r="E585" s="82"/>
      <c r="F585" s="82"/>
      <c r="G585" s="82"/>
      <c r="H585" s="82"/>
      <c r="I585" s="82"/>
      <c r="J585" s="82"/>
      <c r="K585" s="82"/>
    </row>
    <row r="586" spans="1:11" ht="14.25" customHeight="1" x14ac:dyDescent="0.25">
      <c r="A586" s="82"/>
      <c r="B586" s="82"/>
      <c r="C586" s="82"/>
      <c r="D586" s="82"/>
      <c r="E586" s="82"/>
      <c r="F586" s="82"/>
      <c r="G586" s="82"/>
      <c r="H586" s="82"/>
      <c r="I586" s="82"/>
      <c r="J586" s="82"/>
      <c r="K586" s="82"/>
    </row>
    <row r="587" spans="1:11" ht="14.25" customHeight="1" x14ac:dyDescent="0.25">
      <c r="A587" s="82"/>
      <c r="B587" s="82"/>
      <c r="C587" s="82"/>
      <c r="D587" s="82"/>
      <c r="E587" s="82"/>
      <c r="F587" s="82"/>
      <c r="G587" s="82"/>
      <c r="H587" s="82"/>
      <c r="I587" s="82"/>
      <c r="J587" s="82"/>
      <c r="K587" s="82"/>
    </row>
    <row r="588" spans="1:11" ht="14.25" customHeight="1" x14ac:dyDescent="0.25">
      <c r="A588" s="82"/>
      <c r="B588" s="82"/>
      <c r="C588" s="82"/>
      <c r="D588" s="82"/>
      <c r="E588" s="82"/>
      <c r="F588" s="82"/>
      <c r="G588" s="82"/>
      <c r="H588" s="82"/>
      <c r="I588" s="82"/>
      <c r="J588" s="82"/>
      <c r="K588" s="82"/>
    </row>
    <row r="589" spans="1:11" ht="14.25" customHeight="1" x14ac:dyDescent="0.25">
      <c r="A589" s="82"/>
      <c r="B589" s="82"/>
      <c r="C589" s="82"/>
      <c r="D589" s="82"/>
      <c r="E589" s="82"/>
      <c r="F589" s="82"/>
      <c r="G589" s="82"/>
      <c r="H589" s="82"/>
      <c r="I589" s="82"/>
      <c r="J589" s="82"/>
      <c r="K589" s="82"/>
    </row>
    <row r="590" spans="1:11" ht="14.25" customHeight="1" x14ac:dyDescent="0.25">
      <c r="A590" s="82"/>
      <c r="B590" s="82"/>
      <c r="C590" s="82"/>
      <c r="D590" s="82"/>
      <c r="E590" s="82"/>
      <c r="F590" s="82"/>
      <c r="G590" s="82"/>
      <c r="H590" s="82"/>
      <c r="I590" s="82"/>
      <c r="J590" s="82"/>
      <c r="K590" s="82"/>
    </row>
    <row r="591" spans="1:11" ht="14.25" customHeight="1" x14ac:dyDescent="0.25">
      <c r="A591" s="82"/>
      <c r="B591" s="82"/>
      <c r="C591" s="82"/>
      <c r="D591" s="82"/>
      <c r="E591" s="82"/>
      <c r="F591" s="82"/>
      <c r="G591" s="82"/>
      <c r="H591" s="82"/>
      <c r="I591" s="82"/>
      <c r="J591" s="82"/>
      <c r="K591" s="82"/>
    </row>
    <row r="592" spans="1:11" ht="14.25" customHeight="1" x14ac:dyDescent="0.25">
      <c r="A592" s="82"/>
      <c r="B592" s="82"/>
      <c r="C592" s="82"/>
      <c r="D592" s="82"/>
      <c r="E592" s="82"/>
      <c r="F592" s="82"/>
      <c r="G592" s="82"/>
      <c r="H592" s="82"/>
      <c r="I592" s="82"/>
      <c r="J592" s="82"/>
      <c r="K592" s="82"/>
    </row>
    <row r="593" spans="1:11" ht="14.25" customHeight="1" x14ac:dyDescent="0.25">
      <c r="A593" s="82"/>
      <c r="B593" s="82"/>
      <c r="C593" s="82"/>
      <c r="D593" s="82"/>
      <c r="E593" s="82"/>
      <c r="F593" s="82"/>
      <c r="G593" s="82"/>
      <c r="H593" s="82"/>
      <c r="I593" s="82"/>
      <c r="J593" s="82"/>
      <c r="K593" s="82"/>
    </row>
    <row r="594" spans="1:11" ht="14.25" customHeight="1" x14ac:dyDescent="0.25">
      <c r="A594" s="82"/>
      <c r="B594" s="82"/>
      <c r="C594" s="82"/>
      <c r="D594" s="82"/>
      <c r="E594" s="82"/>
      <c r="F594" s="82"/>
      <c r="G594" s="82"/>
      <c r="H594" s="82"/>
      <c r="I594" s="82"/>
      <c r="J594" s="82"/>
      <c r="K594" s="82"/>
    </row>
    <row r="595" spans="1:11" ht="14.25" customHeight="1" x14ac:dyDescent="0.25">
      <c r="A595" s="82"/>
      <c r="B595" s="82"/>
      <c r="C595" s="82"/>
      <c r="D595" s="82"/>
      <c r="E595" s="82"/>
      <c r="F595" s="82"/>
      <c r="G595" s="82"/>
      <c r="H595" s="82"/>
      <c r="I595" s="82"/>
      <c r="J595" s="82"/>
      <c r="K595" s="82"/>
    </row>
    <row r="596" spans="1:11" ht="14.25" customHeight="1" x14ac:dyDescent="0.25">
      <c r="A596" s="82"/>
      <c r="B596" s="82"/>
      <c r="C596" s="82"/>
      <c r="D596" s="82"/>
      <c r="E596" s="82"/>
      <c r="F596" s="82"/>
      <c r="G596" s="82"/>
      <c r="H596" s="82"/>
      <c r="I596" s="82"/>
      <c r="J596" s="82"/>
      <c r="K596" s="82"/>
    </row>
    <row r="597" spans="1:11" ht="14.25" customHeight="1" x14ac:dyDescent="0.25">
      <c r="A597" s="82"/>
      <c r="B597" s="82"/>
      <c r="C597" s="82"/>
      <c r="D597" s="82"/>
      <c r="E597" s="82"/>
      <c r="F597" s="82"/>
      <c r="G597" s="82"/>
      <c r="H597" s="82"/>
      <c r="I597" s="82"/>
      <c r="J597" s="82"/>
      <c r="K597" s="82"/>
    </row>
    <row r="598" spans="1:11" ht="14.25" customHeight="1" x14ac:dyDescent="0.25">
      <c r="A598" s="82"/>
      <c r="B598" s="82"/>
      <c r="C598" s="82"/>
      <c r="D598" s="82"/>
      <c r="E598" s="82"/>
      <c r="F598" s="82"/>
      <c r="G598" s="82"/>
      <c r="H598" s="82"/>
      <c r="I598" s="82"/>
      <c r="J598" s="82"/>
      <c r="K598" s="82"/>
    </row>
    <row r="599" spans="1:11" ht="14.25" customHeight="1" x14ac:dyDescent="0.25">
      <c r="A599" s="82"/>
      <c r="B599" s="82"/>
      <c r="C599" s="82"/>
      <c r="D599" s="82"/>
      <c r="E599" s="82"/>
      <c r="F599" s="82"/>
      <c r="G599" s="82"/>
      <c r="H599" s="82"/>
      <c r="I599" s="82"/>
      <c r="J599" s="82"/>
      <c r="K599" s="82"/>
    </row>
    <row r="600" spans="1:11" ht="14.25" customHeight="1" x14ac:dyDescent="0.25">
      <c r="A600" s="82"/>
      <c r="B600" s="82"/>
      <c r="C600" s="82"/>
      <c r="D600" s="82"/>
      <c r="E600" s="82"/>
      <c r="F600" s="82"/>
      <c r="G600" s="82"/>
      <c r="H600" s="82"/>
      <c r="I600" s="82"/>
      <c r="J600" s="82"/>
      <c r="K600" s="82"/>
    </row>
    <row r="601" spans="1:11" ht="14.25" customHeight="1" x14ac:dyDescent="0.25">
      <c r="A601" s="82"/>
      <c r="B601" s="82"/>
      <c r="C601" s="82"/>
      <c r="D601" s="82"/>
      <c r="E601" s="82"/>
      <c r="F601" s="82"/>
      <c r="G601" s="82"/>
      <c r="H601" s="82"/>
      <c r="I601" s="82"/>
      <c r="J601" s="82"/>
      <c r="K601" s="82"/>
    </row>
    <row r="602" spans="1:11" ht="14.25" customHeight="1" x14ac:dyDescent="0.25">
      <c r="A602" s="82"/>
      <c r="B602" s="82"/>
      <c r="C602" s="82"/>
      <c r="D602" s="82"/>
      <c r="E602" s="82"/>
      <c r="F602" s="82"/>
      <c r="G602" s="82"/>
      <c r="H602" s="82"/>
      <c r="I602" s="82"/>
      <c r="J602" s="82"/>
      <c r="K602" s="82"/>
    </row>
    <row r="603" spans="1:11" ht="14.25" customHeight="1" x14ac:dyDescent="0.25">
      <c r="A603" s="82"/>
      <c r="B603" s="82"/>
      <c r="C603" s="82"/>
      <c r="D603" s="82"/>
      <c r="E603" s="82"/>
      <c r="F603" s="82"/>
      <c r="G603" s="82"/>
      <c r="H603" s="82"/>
      <c r="I603" s="82"/>
      <c r="J603" s="82"/>
      <c r="K603" s="82"/>
    </row>
    <row r="604" spans="1:11" ht="14.25" customHeight="1" x14ac:dyDescent="0.25">
      <c r="A604" s="82"/>
      <c r="B604" s="82"/>
      <c r="C604" s="82"/>
      <c r="D604" s="82"/>
      <c r="E604" s="82"/>
      <c r="F604" s="82"/>
      <c r="G604" s="82"/>
      <c r="H604" s="82"/>
      <c r="I604" s="82"/>
      <c r="J604" s="82"/>
      <c r="K604" s="82"/>
    </row>
    <row r="605" spans="1:11" ht="14.25" customHeight="1" x14ac:dyDescent="0.25">
      <c r="A605" s="82"/>
      <c r="B605" s="82"/>
      <c r="C605" s="82"/>
      <c r="D605" s="82"/>
      <c r="E605" s="82"/>
      <c r="F605" s="82"/>
      <c r="G605" s="82"/>
      <c r="H605" s="82"/>
      <c r="I605" s="82"/>
      <c r="J605" s="82"/>
      <c r="K605" s="82"/>
    </row>
    <row r="606" spans="1:11" ht="14.25" customHeight="1" x14ac:dyDescent="0.25">
      <c r="A606" s="82"/>
      <c r="B606" s="82"/>
      <c r="C606" s="82"/>
      <c r="D606" s="82"/>
      <c r="E606" s="82"/>
      <c r="F606" s="82"/>
      <c r="G606" s="82"/>
      <c r="H606" s="82"/>
      <c r="I606" s="82"/>
      <c r="J606" s="82"/>
      <c r="K606" s="82"/>
    </row>
    <row r="607" spans="1:11" ht="14.25" customHeight="1" x14ac:dyDescent="0.25">
      <c r="A607" s="82"/>
      <c r="B607" s="82"/>
      <c r="C607" s="82"/>
      <c r="D607" s="82"/>
      <c r="E607" s="82"/>
      <c r="F607" s="82"/>
      <c r="G607" s="82"/>
      <c r="H607" s="82"/>
      <c r="I607" s="82"/>
      <c r="J607" s="82"/>
      <c r="K607" s="82"/>
    </row>
    <row r="608" spans="1:11" ht="14.25" customHeight="1" x14ac:dyDescent="0.25">
      <c r="A608" s="82"/>
      <c r="B608" s="82"/>
      <c r="C608" s="82"/>
      <c r="D608" s="82"/>
      <c r="E608" s="82"/>
      <c r="F608" s="82"/>
      <c r="G608" s="82"/>
      <c r="H608" s="82"/>
      <c r="I608" s="82"/>
      <c r="J608" s="82"/>
      <c r="K608" s="82"/>
    </row>
    <row r="609" spans="1:11" ht="14.25" customHeight="1" x14ac:dyDescent="0.25">
      <c r="A609" s="82"/>
      <c r="B609" s="82"/>
      <c r="C609" s="82"/>
      <c r="D609" s="82"/>
      <c r="E609" s="82"/>
      <c r="F609" s="82"/>
      <c r="G609" s="82"/>
      <c r="H609" s="82"/>
      <c r="I609" s="82"/>
      <c r="J609" s="82"/>
      <c r="K609" s="82"/>
    </row>
    <row r="610" spans="1:11" ht="14.25" customHeight="1" x14ac:dyDescent="0.25">
      <c r="A610" s="82"/>
      <c r="B610" s="82"/>
      <c r="C610" s="82"/>
      <c r="D610" s="82"/>
      <c r="E610" s="82"/>
      <c r="F610" s="82"/>
      <c r="G610" s="82"/>
      <c r="H610" s="82"/>
      <c r="I610" s="82"/>
      <c r="J610" s="82"/>
      <c r="K610" s="82"/>
    </row>
    <row r="611" spans="1:11" ht="14.25" customHeight="1" x14ac:dyDescent="0.25">
      <c r="A611" s="82"/>
      <c r="B611" s="82"/>
      <c r="C611" s="82"/>
      <c r="D611" s="82"/>
      <c r="E611" s="82"/>
      <c r="F611" s="82"/>
      <c r="G611" s="82"/>
      <c r="H611" s="82"/>
      <c r="I611" s="82"/>
      <c r="J611" s="82"/>
      <c r="K611" s="82"/>
    </row>
    <row r="612" spans="1:11" ht="14.25" customHeight="1" x14ac:dyDescent="0.25">
      <c r="A612" s="82"/>
      <c r="B612" s="82"/>
      <c r="C612" s="82"/>
      <c r="D612" s="82"/>
      <c r="E612" s="82"/>
      <c r="F612" s="82"/>
      <c r="G612" s="82"/>
      <c r="H612" s="82"/>
      <c r="I612" s="82"/>
      <c r="J612" s="82"/>
      <c r="K612" s="82"/>
    </row>
    <row r="613" spans="1:11" ht="14.25" customHeight="1" x14ac:dyDescent="0.25">
      <c r="A613" s="82"/>
      <c r="B613" s="82"/>
      <c r="C613" s="82"/>
      <c r="D613" s="82"/>
      <c r="E613" s="82"/>
      <c r="F613" s="82"/>
      <c r="G613" s="82"/>
      <c r="H613" s="82"/>
      <c r="I613" s="82"/>
      <c r="J613" s="82"/>
      <c r="K613" s="82"/>
    </row>
    <row r="614" spans="1:11" ht="14.25" customHeight="1" x14ac:dyDescent="0.25">
      <c r="A614" s="82"/>
      <c r="B614" s="82"/>
      <c r="C614" s="82"/>
      <c r="D614" s="82"/>
      <c r="E614" s="82"/>
      <c r="F614" s="82"/>
      <c r="G614" s="82"/>
      <c r="H614" s="82"/>
      <c r="I614" s="82"/>
      <c r="J614" s="82"/>
      <c r="K614" s="82"/>
    </row>
    <row r="615" spans="1:11" ht="14.25" customHeight="1" x14ac:dyDescent="0.25">
      <c r="A615" s="82"/>
      <c r="B615" s="82"/>
      <c r="C615" s="82"/>
      <c r="D615" s="82"/>
      <c r="E615" s="82"/>
      <c r="F615" s="82"/>
      <c r="G615" s="82"/>
      <c r="H615" s="82"/>
      <c r="I615" s="82"/>
      <c r="J615" s="82"/>
      <c r="K615" s="82"/>
    </row>
    <row r="616" spans="1:11" ht="14.25" customHeight="1" x14ac:dyDescent="0.25">
      <c r="A616" s="82"/>
      <c r="B616" s="82"/>
      <c r="C616" s="82"/>
      <c r="D616" s="82"/>
      <c r="E616" s="82"/>
      <c r="F616" s="82"/>
      <c r="G616" s="82"/>
      <c r="H616" s="82"/>
      <c r="I616" s="82"/>
      <c r="J616" s="82"/>
      <c r="K616" s="82"/>
    </row>
    <row r="617" spans="1:11" ht="14.25" customHeight="1" x14ac:dyDescent="0.25">
      <c r="A617" s="82"/>
      <c r="B617" s="82"/>
      <c r="C617" s="82"/>
      <c r="D617" s="82"/>
      <c r="E617" s="82"/>
      <c r="F617" s="82"/>
      <c r="G617" s="82"/>
      <c r="H617" s="82"/>
      <c r="I617" s="82"/>
      <c r="J617" s="82"/>
      <c r="K617" s="82"/>
    </row>
    <row r="618" spans="1:11" ht="14.25" customHeight="1" x14ac:dyDescent="0.25">
      <c r="A618" s="82"/>
      <c r="B618" s="82"/>
      <c r="C618" s="82"/>
      <c r="D618" s="82"/>
      <c r="E618" s="82"/>
      <c r="F618" s="82"/>
      <c r="G618" s="82"/>
      <c r="H618" s="82"/>
      <c r="I618" s="82"/>
      <c r="J618" s="82"/>
      <c r="K618" s="82"/>
    </row>
    <row r="619" spans="1:11" ht="14.25" customHeight="1" x14ac:dyDescent="0.25">
      <c r="A619" s="82"/>
      <c r="B619" s="82"/>
      <c r="C619" s="82"/>
      <c r="D619" s="82"/>
      <c r="E619" s="82"/>
      <c r="F619" s="82"/>
      <c r="G619" s="82"/>
      <c r="H619" s="82"/>
      <c r="I619" s="82"/>
      <c r="J619" s="82"/>
      <c r="K619" s="82"/>
    </row>
    <row r="620" spans="1:11" ht="14.25" customHeight="1" x14ac:dyDescent="0.25">
      <c r="A620" s="82"/>
      <c r="B620" s="82"/>
      <c r="C620" s="82"/>
      <c r="D620" s="82"/>
      <c r="E620" s="82"/>
      <c r="F620" s="82"/>
      <c r="G620" s="82"/>
      <c r="H620" s="82"/>
      <c r="I620" s="82"/>
      <c r="J620" s="82"/>
      <c r="K620" s="82"/>
    </row>
    <row r="621" spans="1:11" ht="14.25" customHeight="1" x14ac:dyDescent="0.25">
      <c r="A621" s="82"/>
      <c r="B621" s="82"/>
      <c r="C621" s="82"/>
      <c r="D621" s="82"/>
      <c r="E621" s="82"/>
      <c r="F621" s="82"/>
      <c r="G621" s="82"/>
      <c r="H621" s="82"/>
      <c r="I621" s="82"/>
      <c r="J621" s="82"/>
      <c r="K621" s="82"/>
    </row>
    <row r="622" spans="1:11" ht="14.25" customHeight="1" x14ac:dyDescent="0.25">
      <c r="A622" s="82"/>
      <c r="B622" s="82"/>
      <c r="C622" s="82"/>
      <c r="D622" s="82"/>
      <c r="E622" s="82"/>
      <c r="F622" s="82"/>
      <c r="G622" s="82"/>
      <c r="H622" s="82"/>
      <c r="I622" s="82"/>
      <c r="J622" s="82"/>
      <c r="K622" s="82"/>
    </row>
    <row r="623" spans="1:11" ht="14.25" customHeight="1" x14ac:dyDescent="0.25">
      <c r="A623" s="82"/>
      <c r="B623" s="82"/>
      <c r="C623" s="82"/>
      <c r="D623" s="82"/>
      <c r="E623" s="82"/>
      <c r="F623" s="82"/>
      <c r="G623" s="82"/>
      <c r="H623" s="82"/>
      <c r="I623" s="82"/>
      <c r="J623" s="82"/>
      <c r="K623" s="82"/>
    </row>
    <row r="624" spans="1:11" ht="14.25" customHeight="1" x14ac:dyDescent="0.25">
      <c r="A624" s="82"/>
      <c r="B624" s="82"/>
      <c r="C624" s="82"/>
      <c r="D624" s="82"/>
      <c r="E624" s="82"/>
      <c r="F624" s="82"/>
      <c r="G624" s="82"/>
      <c r="H624" s="82"/>
      <c r="I624" s="82"/>
      <c r="J624" s="82"/>
      <c r="K624" s="82"/>
    </row>
    <row r="625" spans="1:11" ht="14.25" customHeight="1" x14ac:dyDescent="0.25">
      <c r="A625" s="82"/>
      <c r="B625" s="82"/>
      <c r="C625" s="82"/>
      <c r="D625" s="82"/>
      <c r="E625" s="82"/>
      <c r="F625" s="82"/>
      <c r="G625" s="82"/>
      <c r="H625" s="82"/>
      <c r="I625" s="82"/>
      <c r="J625" s="82"/>
      <c r="K625" s="82"/>
    </row>
    <row r="626" spans="1:11" ht="14.25" customHeight="1" x14ac:dyDescent="0.25">
      <c r="A626" s="82"/>
      <c r="B626" s="82"/>
      <c r="C626" s="82"/>
      <c r="D626" s="82"/>
      <c r="E626" s="82"/>
      <c r="F626" s="82"/>
      <c r="G626" s="82"/>
      <c r="H626" s="82"/>
      <c r="I626" s="82"/>
      <c r="J626" s="82"/>
      <c r="K626" s="82"/>
    </row>
    <row r="627" spans="1:11" ht="14.25" customHeight="1" x14ac:dyDescent="0.25">
      <c r="A627" s="82"/>
      <c r="B627" s="82"/>
      <c r="C627" s="82"/>
      <c r="D627" s="82"/>
      <c r="E627" s="82"/>
      <c r="F627" s="82"/>
      <c r="G627" s="82"/>
      <c r="H627" s="82"/>
      <c r="I627" s="82"/>
      <c r="J627" s="82"/>
      <c r="K627" s="82"/>
    </row>
    <row r="628" spans="1:11" ht="14.25" customHeight="1" x14ac:dyDescent="0.25">
      <c r="A628" s="82"/>
      <c r="B628" s="82"/>
      <c r="C628" s="82"/>
      <c r="D628" s="82"/>
      <c r="E628" s="82"/>
      <c r="F628" s="82"/>
      <c r="G628" s="82"/>
      <c r="H628" s="82"/>
      <c r="I628" s="82"/>
      <c r="J628" s="82"/>
      <c r="K628" s="82"/>
    </row>
    <row r="629" spans="1:11" ht="14.25" customHeight="1" x14ac:dyDescent="0.25">
      <c r="A629" s="82"/>
      <c r="B629" s="82"/>
      <c r="C629" s="82"/>
      <c r="D629" s="82"/>
      <c r="E629" s="82"/>
      <c r="F629" s="82"/>
      <c r="G629" s="82"/>
      <c r="H629" s="82"/>
      <c r="I629" s="82"/>
      <c r="J629" s="82"/>
      <c r="K629" s="82"/>
    </row>
    <row r="630" spans="1:11" ht="14.25" customHeight="1" x14ac:dyDescent="0.25">
      <c r="A630" s="82"/>
      <c r="B630" s="82"/>
      <c r="C630" s="82"/>
      <c r="D630" s="82"/>
      <c r="E630" s="82"/>
      <c r="F630" s="82"/>
      <c r="G630" s="82"/>
      <c r="H630" s="82"/>
      <c r="I630" s="82"/>
      <c r="J630" s="82"/>
      <c r="K630" s="82"/>
    </row>
    <row r="631" spans="1:11" ht="14.25" customHeight="1" x14ac:dyDescent="0.25">
      <c r="A631" s="82"/>
      <c r="B631" s="82"/>
      <c r="C631" s="82"/>
      <c r="D631" s="82"/>
      <c r="E631" s="82"/>
      <c r="F631" s="82"/>
      <c r="G631" s="82"/>
      <c r="H631" s="82"/>
      <c r="I631" s="82"/>
      <c r="J631" s="82"/>
      <c r="K631" s="82"/>
    </row>
    <row r="632" spans="1:11" ht="14.25" customHeight="1" x14ac:dyDescent="0.25">
      <c r="A632" s="82"/>
      <c r="B632" s="82"/>
      <c r="C632" s="82"/>
      <c r="D632" s="82"/>
      <c r="E632" s="82"/>
      <c r="F632" s="82"/>
      <c r="G632" s="82"/>
      <c r="H632" s="82"/>
      <c r="I632" s="82"/>
      <c r="J632" s="82"/>
      <c r="K632" s="82"/>
    </row>
    <row r="633" spans="1:11" ht="14.25" customHeight="1" x14ac:dyDescent="0.25">
      <c r="A633" s="82"/>
      <c r="B633" s="82"/>
      <c r="C633" s="82"/>
      <c r="D633" s="82"/>
      <c r="E633" s="82"/>
      <c r="F633" s="82"/>
      <c r="G633" s="82"/>
      <c r="H633" s="82"/>
      <c r="I633" s="82"/>
      <c r="J633" s="82"/>
      <c r="K633" s="82"/>
    </row>
    <row r="634" spans="1:11" ht="14.25" customHeight="1" x14ac:dyDescent="0.25">
      <c r="A634" s="82"/>
      <c r="B634" s="82"/>
      <c r="C634" s="82"/>
      <c r="D634" s="82"/>
      <c r="E634" s="82"/>
      <c r="F634" s="82"/>
      <c r="G634" s="82"/>
      <c r="H634" s="82"/>
      <c r="I634" s="82"/>
      <c r="J634" s="82"/>
      <c r="K634" s="82"/>
    </row>
    <row r="635" spans="1:11" ht="14.25" customHeight="1" x14ac:dyDescent="0.25">
      <c r="A635" s="82"/>
      <c r="B635" s="82"/>
      <c r="C635" s="82"/>
      <c r="D635" s="82"/>
      <c r="E635" s="82"/>
      <c r="F635" s="82"/>
      <c r="G635" s="82"/>
      <c r="H635" s="82"/>
      <c r="I635" s="82"/>
      <c r="J635" s="82"/>
      <c r="K635" s="82"/>
    </row>
    <row r="636" spans="1:11" ht="14.25" customHeight="1" x14ac:dyDescent="0.25">
      <c r="A636" s="82"/>
      <c r="B636" s="82"/>
      <c r="C636" s="82"/>
      <c r="D636" s="82"/>
      <c r="E636" s="82"/>
      <c r="F636" s="82"/>
      <c r="G636" s="82"/>
      <c r="H636" s="82"/>
      <c r="I636" s="82"/>
      <c r="J636" s="82"/>
      <c r="K636" s="82"/>
    </row>
    <row r="637" spans="1:11" ht="14.25" customHeight="1" x14ac:dyDescent="0.25">
      <c r="A637" s="82"/>
      <c r="B637" s="82"/>
      <c r="C637" s="82"/>
      <c r="D637" s="82"/>
      <c r="E637" s="82"/>
      <c r="F637" s="82"/>
      <c r="G637" s="82"/>
      <c r="H637" s="82"/>
      <c r="I637" s="82"/>
      <c r="J637" s="82"/>
      <c r="K637" s="82"/>
    </row>
    <row r="638" spans="1:11" ht="14.25" customHeight="1" x14ac:dyDescent="0.25">
      <c r="A638" s="82"/>
      <c r="B638" s="82"/>
      <c r="C638" s="82"/>
      <c r="D638" s="82"/>
      <c r="E638" s="82"/>
      <c r="F638" s="82"/>
      <c r="G638" s="82"/>
      <c r="H638" s="82"/>
      <c r="I638" s="82"/>
      <c r="J638" s="82"/>
      <c r="K638" s="82"/>
    </row>
    <row r="639" spans="1:11" ht="14.25" customHeight="1" x14ac:dyDescent="0.25">
      <c r="A639" s="82"/>
      <c r="B639" s="82"/>
      <c r="C639" s="82"/>
      <c r="D639" s="82"/>
      <c r="E639" s="82"/>
      <c r="F639" s="82"/>
      <c r="G639" s="82"/>
      <c r="H639" s="82"/>
      <c r="I639" s="82"/>
      <c r="J639" s="82"/>
      <c r="K639" s="82"/>
    </row>
    <row r="640" spans="1:11" ht="14.25" customHeight="1" x14ac:dyDescent="0.25">
      <c r="A640" s="82"/>
      <c r="B640" s="82"/>
      <c r="C640" s="82"/>
      <c r="D640" s="82"/>
      <c r="E640" s="82"/>
      <c r="F640" s="82"/>
      <c r="G640" s="82"/>
      <c r="H640" s="82"/>
      <c r="I640" s="82"/>
      <c r="J640" s="82"/>
      <c r="K640" s="82"/>
    </row>
    <row r="641" spans="1:11" ht="14.25" customHeight="1" x14ac:dyDescent="0.25">
      <c r="A641" s="82"/>
      <c r="B641" s="82"/>
      <c r="C641" s="82"/>
      <c r="D641" s="82"/>
      <c r="E641" s="82"/>
      <c r="F641" s="82"/>
      <c r="G641" s="82"/>
      <c r="H641" s="82"/>
      <c r="I641" s="82"/>
      <c r="J641" s="82"/>
      <c r="K641" s="82"/>
    </row>
    <row r="642" spans="1:11" ht="14.25" customHeight="1" x14ac:dyDescent="0.25">
      <c r="A642" s="82"/>
      <c r="B642" s="82"/>
      <c r="C642" s="82"/>
      <c r="D642" s="82"/>
      <c r="E642" s="82"/>
      <c r="F642" s="82"/>
      <c r="G642" s="82"/>
      <c r="H642" s="82"/>
      <c r="I642" s="82"/>
      <c r="J642" s="82"/>
      <c r="K642" s="82"/>
    </row>
    <row r="643" spans="1:11" ht="14.25" customHeight="1" x14ac:dyDescent="0.25">
      <c r="A643" s="82"/>
      <c r="B643" s="82"/>
      <c r="C643" s="82"/>
      <c r="D643" s="82"/>
      <c r="E643" s="82"/>
      <c r="F643" s="82"/>
      <c r="G643" s="82"/>
      <c r="H643" s="82"/>
      <c r="I643" s="82"/>
      <c r="J643" s="82"/>
      <c r="K643" s="82"/>
    </row>
    <row r="644" spans="1:11" ht="14.25" customHeight="1" x14ac:dyDescent="0.25">
      <c r="A644" s="82"/>
      <c r="B644" s="82"/>
      <c r="C644" s="82"/>
      <c r="D644" s="82"/>
      <c r="E644" s="82"/>
      <c r="F644" s="82"/>
      <c r="G644" s="82"/>
      <c r="H644" s="82"/>
      <c r="I644" s="82"/>
      <c r="J644" s="82"/>
      <c r="K644" s="82"/>
    </row>
    <row r="645" spans="1:11" ht="14.25" customHeight="1" x14ac:dyDescent="0.25">
      <c r="A645" s="82"/>
      <c r="B645" s="82"/>
      <c r="C645" s="82"/>
      <c r="D645" s="82"/>
      <c r="E645" s="82"/>
      <c r="F645" s="82"/>
      <c r="G645" s="82"/>
      <c r="H645" s="82"/>
      <c r="I645" s="82"/>
      <c r="J645" s="82"/>
      <c r="K645" s="82"/>
    </row>
    <row r="646" spans="1:11" ht="14.25" customHeight="1" x14ac:dyDescent="0.25">
      <c r="A646" s="82"/>
      <c r="B646" s="82"/>
      <c r="C646" s="82"/>
      <c r="D646" s="82"/>
      <c r="E646" s="82"/>
      <c r="F646" s="82"/>
      <c r="G646" s="82"/>
      <c r="H646" s="82"/>
      <c r="I646" s="82"/>
      <c r="J646" s="82"/>
      <c r="K646" s="82"/>
    </row>
    <row r="647" spans="1:11" ht="14.25" customHeight="1" x14ac:dyDescent="0.25">
      <c r="A647" s="82"/>
      <c r="B647" s="82"/>
      <c r="C647" s="82"/>
      <c r="D647" s="82"/>
      <c r="E647" s="82"/>
      <c r="F647" s="82"/>
      <c r="G647" s="82"/>
      <c r="H647" s="82"/>
      <c r="I647" s="82"/>
      <c r="J647" s="82"/>
      <c r="K647" s="82"/>
    </row>
    <row r="648" spans="1:11" ht="14.25" customHeight="1" x14ac:dyDescent="0.25">
      <c r="A648" s="82"/>
      <c r="B648" s="82"/>
      <c r="C648" s="82"/>
      <c r="D648" s="82"/>
      <c r="E648" s="82"/>
      <c r="F648" s="82"/>
      <c r="G648" s="82"/>
      <c r="H648" s="82"/>
      <c r="I648" s="82"/>
      <c r="J648" s="82"/>
      <c r="K648" s="82"/>
    </row>
    <row r="649" spans="1:11" ht="14.25" customHeight="1" x14ac:dyDescent="0.25">
      <c r="A649" s="82"/>
      <c r="B649" s="82"/>
      <c r="C649" s="82"/>
      <c r="D649" s="82"/>
      <c r="E649" s="82"/>
      <c r="F649" s="82"/>
      <c r="G649" s="82"/>
      <c r="H649" s="82"/>
      <c r="I649" s="82"/>
      <c r="J649" s="82"/>
      <c r="K649" s="82"/>
    </row>
    <row r="650" spans="1:11" ht="14.25" customHeight="1" x14ac:dyDescent="0.25">
      <c r="A650" s="82"/>
      <c r="B650" s="82"/>
      <c r="C650" s="82"/>
      <c r="D650" s="82"/>
      <c r="E650" s="82"/>
      <c r="F650" s="82"/>
      <c r="G650" s="82"/>
      <c r="H650" s="82"/>
      <c r="I650" s="82"/>
      <c r="J650" s="82"/>
      <c r="K650" s="82"/>
    </row>
    <row r="651" spans="1:11" ht="14.25" customHeight="1" x14ac:dyDescent="0.25">
      <c r="A651" s="82"/>
      <c r="B651" s="82"/>
      <c r="C651" s="82"/>
      <c r="D651" s="82"/>
      <c r="E651" s="82"/>
      <c r="F651" s="82"/>
      <c r="G651" s="82"/>
      <c r="H651" s="82"/>
      <c r="I651" s="82"/>
      <c r="J651" s="82"/>
      <c r="K651" s="82"/>
    </row>
    <row r="652" spans="1:11" ht="14.25" customHeight="1" x14ac:dyDescent="0.25">
      <c r="A652" s="82"/>
      <c r="B652" s="82"/>
      <c r="C652" s="82"/>
      <c r="D652" s="82"/>
      <c r="E652" s="82"/>
      <c r="F652" s="82"/>
      <c r="G652" s="82"/>
      <c r="H652" s="82"/>
      <c r="I652" s="82"/>
      <c r="J652" s="82"/>
      <c r="K652" s="82"/>
    </row>
    <row r="653" spans="1:11" ht="14.25" customHeight="1" x14ac:dyDescent="0.25">
      <c r="A653" s="82"/>
      <c r="B653" s="82"/>
      <c r="C653" s="82"/>
      <c r="D653" s="82"/>
      <c r="E653" s="82"/>
      <c r="F653" s="82"/>
      <c r="G653" s="82"/>
      <c r="H653" s="82"/>
      <c r="I653" s="82"/>
      <c r="J653" s="82"/>
      <c r="K653" s="82"/>
    </row>
    <row r="654" spans="1:11" ht="14.25" customHeight="1" x14ac:dyDescent="0.25">
      <c r="A654" s="82"/>
      <c r="B654" s="82"/>
      <c r="C654" s="82"/>
      <c r="D654" s="82"/>
      <c r="E654" s="82"/>
      <c r="F654" s="82"/>
      <c r="G654" s="82"/>
      <c r="H654" s="82"/>
      <c r="I654" s="82"/>
      <c r="J654" s="82"/>
      <c r="K654" s="82"/>
    </row>
    <row r="655" spans="1:11" ht="14.25" customHeight="1" x14ac:dyDescent="0.25">
      <c r="A655" s="82"/>
      <c r="B655" s="82"/>
      <c r="C655" s="82"/>
      <c r="D655" s="82"/>
      <c r="E655" s="82"/>
      <c r="F655" s="82"/>
      <c r="G655" s="82"/>
      <c r="H655" s="82"/>
      <c r="I655" s="82"/>
      <c r="J655" s="82"/>
      <c r="K655" s="82"/>
    </row>
    <row r="656" spans="1:11" ht="14.25" customHeight="1" x14ac:dyDescent="0.25">
      <c r="A656" s="82"/>
      <c r="B656" s="82"/>
      <c r="C656" s="82"/>
      <c r="D656" s="82"/>
      <c r="E656" s="82"/>
      <c r="F656" s="82"/>
      <c r="G656" s="82"/>
      <c r="H656" s="82"/>
      <c r="I656" s="82"/>
      <c r="J656" s="82"/>
      <c r="K656" s="82"/>
    </row>
    <row r="657" spans="1:11" ht="14.25" customHeight="1" x14ac:dyDescent="0.25">
      <c r="A657" s="82"/>
      <c r="B657" s="82"/>
      <c r="C657" s="82"/>
      <c r="D657" s="82"/>
      <c r="E657" s="82"/>
      <c r="F657" s="82"/>
      <c r="G657" s="82"/>
      <c r="H657" s="82"/>
      <c r="I657" s="82"/>
      <c r="J657" s="82"/>
      <c r="K657" s="82"/>
    </row>
    <row r="658" spans="1:11" ht="14.25" customHeight="1" x14ac:dyDescent="0.25">
      <c r="A658" s="82"/>
      <c r="B658" s="82"/>
      <c r="C658" s="82"/>
      <c r="D658" s="82"/>
      <c r="E658" s="82"/>
      <c r="F658" s="82"/>
      <c r="G658" s="82"/>
      <c r="H658" s="82"/>
      <c r="I658" s="82"/>
      <c r="J658" s="82"/>
      <c r="K658" s="82"/>
    </row>
    <row r="659" spans="1:11" ht="14.25" customHeight="1" x14ac:dyDescent="0.25">
      <c r="A659" s="82"/>
      <c r="B659" s="82"/>
      <c r="C659" s="82"/>
      <c r="D659" s="82"/>
      <c r="E659" s="82"/>
      <c r="F659" s="82"/>
      <c r="G659" s="82"/>
      <c r="H659" s="82"/>
      <c r="I659" s="82"/>
      <c r="J659" s="82"/>
      <c r="K659" s="82"/>
    </row>
    <row r="660" spans="1:11" ht="14.25" customHeight="1" x14ac:dyDescent="0.25">
      <c r="A660" s="82"/>
      <c r="B660" s="82"/>
      <c r="C660" s="82"/>
      <c r="D660" s="82"/>
      <c r="E660" s="82"/>
      <c r="F660" s="82"/>
      <c r="G660" s="82"/>
      <c r="H660" s="82"/>
      <c r="I660" s="82"/>
      <c r="J660" s="82"/>
      <c r="K660" s="82"/>
    </row>
    <row r="661" spans="1:11" ht="14.25" customHeight="1" x14ac:dyDescent="0.25">
      <c r="A661" s="82"/>
      <c r="B661" s="82"/>
      <c r="C661" s="82"/>
      <c r="D661" s="82"/>
      <c r="E661" s="82"/>
      <c r="F661" s="82"/>
      <c r="G661" s="82"/>
      <c r="H661" s="82"/>
      <c r="I661" s="82"/>
      <c r="J661" s="82"/>
      <c r="K661" s="82"/>
    </row>
    <row r="662" spans="1:11" ht="14.25" customHeight="1" x14ac:dyDescent="0.25">
      <c r="A662" s="82"/>
      <c r="B662" s="82"/>
      <c r="C662" s="82"/>
      <c r="D662" s="82"/>
      <c r="E662" s="82"/>
      <c r="F662" s="82"/>
      <c r="G662" s="82"/>
      <c r="H662" s="82"/>
      <c r="I662" s="82"/>
      <c r="J662" s="82"/>
      <c r="K662" s="82"/>
    </row>
    <row r="663" spans="1:11" ht="14.25" customHeight="1" x14ac:dyDescent="0.25">
      <c r="A663" s="82"/>
      <c r="B663" s="82"/>
      <c r="C663" s="82"/>
      <c r="D663" s="82"/>
      <c r="E663" s="82"/>
      <c r="F663" s="82"/>
      <c r="G663" s="82"/>
      <c r="H663" s="82"/>
      <c r="I663" s="82"/>
      <c r="J663" s="82"/>
      <c r="K663" s="82"/>
    </row>
    <row r="664" spans="1:11" ht="14.25" customHeight="1" x14ac:dyDescent="0.25">
      <c r="A664" s="82"/>
      <c r="B664" s="82"/>
      <c r="C664" s="82"/>
      <c r="D664" s="82"/>
      <c r="E664" s="82"/>
      <c r="F664" s="82"/>
      <c r="G664" s="82"/>
      <c r="H664" s="82"/>
      <c r="I664" s="82"/>
      <c r="J664" s="82"/>
      <c r="K664" s="82"/>
    </row>
    <row r="665" spans="1:11" ht="14.25" customHeight="1" x14ac:dyDescent="0.25">
      <c r="A665" s="82"/>
      <c r="B665" s="82"/>
      <c r="C665" s="82"/>
      <c r="D665" s="82"/>
      <c r="E665" s="82"/>
      <c r="F665" s="82"/>
      <c r="G665" s="82"/>
      <c r="H665" s="82"/>
      <c r="I665" s="82"/>
      <c r="J665" s="82"/>
      <c r="K665" s="82"/>
    </row>
    <row r="666" spans="1:11" ht="14.25" customHeight="1" x14ac:dyDescent="0.25">
      <c r="A666" s="82"/>
      <c r="B666" s="82"/>
      <c r="C666" s="82"/>
      <c r="D666" s="82"/>
      <c r="E666" s="82"/>
      <c r="F666" s="82"/>
      <c r="G666" s="82"/>
      <c r="H666" s="82"/>
      <c r="I666" s="82"/>
      <c r="J666" s="82"/>
      <c r="K666" s="82"/>
    </row>
    <row r="667" spans="1:11" ht="14.25" customHeight="1" x14ac:dyDescent="0.25">
      <c r="A667" s="82"/>
      <c r="B667" s="82"/>
      <c r="C667" s="82"/>
      <c r="D667" s="82"/>
      <c r="E667" s="82"/>
      <c r="F667" s="82"/>
      <c r="G667" s="82"/>
      <c r="H667" s="82"/>
      <c r="I667" s="82"/>
      <c r="J667" s="82"/>
      <c r="K667" s="82"/>
    </row>
    <row r="668" spans="1:11" ht="14.25" customHeight="1" x14ac:dyDescent="0.25">
      <c r="A668" s="82"/>
      <c r="B668" s="82"/>
      <c r="C668" s="82"/>
      <c r="D668" s="82"/>
      <c r="E668" s="82"/>
      <c r="F668" s="82"/>
      <c r="G668" s="82"/>
      <c r="H668" s="82"/>
      <c r="I668" s="82"/>
      <c r="J668" s="82"/>
      <c r="K668" s="82"/>
    </row>
    <row r="669" spans="1:11" ht="14.25" customHeight="1" x14ac:dyDescent="0.25">
      <c r="A669" s="82"/>
      <c r="B669" s="82"/>
      <c r="C669" s="82"/>
      <c r="D669" s="82"/>
      <c r="E669" s="82"/>
      <c r="F669" s="82"/>
      <c r="G669" s="82"/>
      <c r="H669" s="82"/>
      <c r="I669" s="82"/>
      <c r="J669" s="82"/>
      <c r="K669" s="82"/>
    </row>
    <row r="670" spans="1:11" ht="14.25" customHeight="1" x14ac:dyDescent="0.25">
      <c r="A670" s="82"/>
      <c r="B670" s="82"/>
      <c r="C670" s="82"/>
      <c r="D670" s="82"/>
      <c r="E670" s="82"/>
      <c r="F670" s="82"/>
      <c r="G670" s="82"/>
      <c r="H670" s="82"/>
      <c r="I670" s="82"/>
      <c r="J670" s="82"/>
      <c r="K670" s="82"/>
    </row>
    <row r="671" spans="1:11" ht="14.25" customHeight="1" x14ac:dyDescent="0.25">
      <c r="A671" s="82"/>
      <c r="B671" s="82"/>
      <c r="C671" s="82"/>
      <c r="D671" s="82"/>
      <c r="E671" s="82"/>
      <c r="F671" s="82"/>
      <c r="G671" s="82"/>
      <c r="H671" s="82"/>
      <c r="I671" s="82"/>
      <c r="J671" s="82"/>
      <c r="K671" s="82"/>
    </row>
    <row r="672" spans="1:11" ht="14.25" customHeight="1" x14ac:dyDescent="0.25">
      <c r="A672" s="82"/>
      <c r="B672" s="82"/>
      <c r="C672" s="82"/>
      <c r="D672" s="82"/>
      <c r="E672" s="82"/>
      <c r="F672" s="82"/>
      <c r="G672" s="82"/>
      <c r="H672" s="82"/>
      <c r="I672" s="82"/>
      <c r="J672" s="82"/>
      <c r="K672" s="82"/>
    </row>
    <row r="673" spans="1:11" ht="14.25" customHeight="1" x14ac:dyDescent="0.25">
      <c r="A673" s="82"/>
      <c r="B673" s="82"/>
      <c r="C673" s="82"/>
      <c r="D673" s="82"/>
      <c r="E673" s="82"/>
      <c r="F673" s="82"/>
      <c r="G673" s="82"/>
      <c r="H673" s="82"/>
      <c r="I673" s="82"/>
      <c r="J673" s="82"/>
      <c r="K673" s="82"/>
    </row>
    <row r="674" spans="1:11" ht="14.25" customHeight="1" x14ac:dyDescent="0.25">
      <c r="A674" s="82"/>
      <c r="B674" s="82"/>
      <c r="C674" s="82"/>
      <c r="D674" s="82"/>
      <c r="E674" s="82"/>
      <c r="F674" s="82"/>
      <c r="G674" s="82"/>
      <c r="H674" s="82"/>
      <c r="I674" s="82"/>
      <c r="J674" s="82"/>
      <c r="K674" s="82"/>
    </row>
    <row r="675" spans="1:11" ht="14.25" customHeight="1" x14ac:dyDescent="0.25">
      <c r="A675" s="82"/>
      <c r="B675" s="82"/>
      <c r="C675" s="82"/>
      <c r="D675" s="82"/>
      <c r="E675" s="82"/>
      <c r="F675" s="82"/>
      <c r="G675" s="82"/>
      <c r="H675" s="82"/>
      <c r="I675" s="82"/>
      <c r="J675" s="82"/>
      <c r="K675" s="82"/>
    </row>
    <row r="676" spans="1:11" ht="14.25" customHeight="1" x14ac:dyDescent="0.25">
      <c r="A676" s="82"/>
      <c r="B676" s="82"/>
      <c r="C676" s="82"/>
      <c r="D676" s="82"/>
      <c r="E676" s="82"/>
      <c r="F676" s="82"/>
      <c r="G676" s="82"/>
      <c r="H676" s="82"/>
      <c r="I676" s="82"/>
      <c r="J676" s="82"/>
      <c r="K676" s="82"/>
    </row>
    <row r="677" spans="1:11" ht="14.25" customHeight="1" x14ac:dyDescent="0.25">
      <c r="A677" s="82"/>
      <c r="B677" s="82"/>
      <c r="C677" s="82"/>
      <c r="D677" s="82"/>
      <c r="E677" s="82"/>
      <c r="F677" s="82"/>
      <c r="G677" s="82"/>
      <c r="H677" s="82"/>
      <c r="I677" s="82"/>
      <c r="J677" s="82"/>
      <c r="K677" s="82"/>
    </row>
    <row r="678" spans="1:11" ht="14.25" customHeight="1" x14ac:dyDescent="0.25">
      <c r="A678" s="82"/>
      <c r="B678" s="82"/>
      <c r="C678" s="82"/>
      <c r="D678" s="82"/>
      <c r="E678" s="82"/>
      <c r="F678" s="82"/>
      <c r="G678" s="82"/>
      <c r="H678" s="82"/>
      <c r="I678" s="82"/>
      <c r="J678" s="82"/>
      <c r="K678" s="82"/>
    </row>
    <row r="679" spans="1:11" ht="14.25" customHeight="1" x14ac:dyDescent="0.25">
      <c r="A679" s="82"/>
      <c r="B679" s="82"/>
      <c r="C679" s="82"/>
      <c r="D679" s="82"/>
      <c r="E679" s="82"/>
      <c r="F679" s="82"/>
      <c r="G679" s="82"/>
      <c r="H679" s="82"/>
      <c r="I679" s="82"/>
      <c r="J679" s="82"/>
      <c r="K679" s="82"/>
    </row>
    <row r="680" spans="1:11" ht="14.25" customHeight="1" x14ac:dyDescent="0.25">
      <c r="A680" s="82"/>
      <c r="B680" s="82"/>
      <c r="C680" s="82"/>
      <c r="D680" s="82"/>
      <c r="E680" s="82"/>
      <c r="F680" s="82"/>
      <c r="G680" s="82"/>
      <c r="H680" s="82"/>
      <c r="I680" s="82"/>
      <c r="J680" s="82"/>
      <c r="K680" s="82"/>
    </row>
    <row r="681" spans="1:11" ht="14.25" customHeight="1" x14ac:dyDescent="0.25">
      <c r="A681" s="82"/>
      <c r="B681" s="82"/>
      <c r="C681" s="82"/>
      <c r="D681" s="82"/>
      <c r="E681" s="82"/>
      <c r="F681" s="82"/>
      <c r="G681" s="82"/>
      <c r="H681" s="82"/>
      <c r="I681" s="82"/>
      <c r="J681" s="82"/>
      <c r="K681" s="82"/>
    </row>
    <row r="682" spans="1:11" ht="14.25" customHeight="1" x14ac:dyDescent="0.25">
      <c r="A682" s="82"/>
      <c r="B682" s="82"/>
      <c r="C682" s="82"/>
      <c r="D682" s="82"/>
      <c r="E682" s="82"/>
      <c r="F682" s="82"/>
      <c r="G682" s="82"/>
      <c r="H682" s="82"/>
      <c r="I682" s="82"/>
      <c r="J682" s="82"/>
      <c r="K682" s="82"/>
    </row>
    <row r="683" spans="1:11" ht="14.25" customHeight="1" x14ac:dyDescent="0.25">
      <c r="A683" s="82"/>
      <c r="B683" s="82"/>
      <c r="C683" s="82"/>
      <c r="D683" s="82"/>
      <c r="E683" s="82"/>
      <c r="F683" s="82"/>
      <c r="G683" s="82"/>
      <c r="H683" s="82"/>
      <c r="I683" s="82"/>
      <c r="J683" s="82"/>
      <c r="K683" s="82"/>
    </row>
    <row r="684" spans="1:11" ht="14.25" customHeight="1" x14ac:dyDescent="0.25">
      <c r="A684" s="82"/>
      <c r="B684" s="82"/>
      <c r="C684" s="82"/>
      <c r="D684" s="82"/>
      <c r="E684" s="82"/>
      <c r="F684" s="82"/>
      <c r="G684" s="82"/>
      <c r="H684" s="82"/>
      <c r="I684" s="82"/>
      <c r="J684" s="82"/>
      <c r="K684" s="82"/>
    </row>
    <row r="685" spans="1:11" ht="14.25" customHeight="1" x14ac:dyDescent="0.25">
      <c r="A685" s="82"/>
      <c r="B685" s="82"/>
      <c r="C685" s="82"/>
      <c r="D685" s="82"/>
      <c r="E685" s="82"/>
      <c r="F685" s="82"/>
      <c r="G685" s="82"/>
      <c r="H685" s="82"/>
      <c r="I685" s="82"/>
      <c r="J685" s="82"/>
      <c r="K685" s="82"/>
    </row>
    <row r="686" spans="1:11" ht="14.25" customHeight="1" x14ac:dyDescent="0.25">
      <c r="A686" s="82"/>
      <c r="B686" s="82"/>
      <c r="C686" s="82"/>
      <c r="D686" s="82"/>
      <c r="E686" s="82"/>
      <c r="F686" s="82"/>
      <c r="G686" s="82"/>
      <c r="H686" s="82"/>
      <c r="I686" s="82"/>
      <c r="J686" s="82"/>
      <c r="K686" s="82"/>
    </row>
    <row r="687" spans="1:11" ht="14.25" customHeight="1" x14ac:dyDescent="0.25">
      <c r="A687" s="82"/>
      <c r="B687" s="82"/>
      <c r="C687" s="82"/>
      <c r="D687" s="82"/>
      <c r="E687" s="82"/>
      <c r="F687" s="82"/>
      <c r="G687" s="82"/>
      <c r="H687" s="82"/>
      <c r="I687" s="82"/>
      <c r="J687" s="82"/>
      <c r="K687" s="82"/>
    </row>
    <row r="688" spans="1:11" ht="14.25" customHeight="1" x14ac:dyDescent="0.25">
      <c r="A688" s="82"/>
      <c r="B688" s="82"/>
      <c r="C688" s="82"/>
      <c r="D688" s="82"/>
      <c r="E688" s="82"/>
      <c r="F688" s="82"/>
      <c r="G688" s="82"/>
      <c r="H688" s="82"/>
      <c r="I688" s="82"/>
      <c r="J688" s="82"/>
      <c r="K688" s="82"/>
    </row>
    <row r="689" spans="1:11" ht="14.25" customHeight="1" x14ac:dyDescent="0.25">
      <c r="A689" s="82"/>
      <c r="B689" s="82"/>
      <c r="C689" s="82"/>
      <c r="D689" s="82"/>
      <c r="E689" s="82"/>
      <c r="F689" s="82"/>
      <c r="G689" s="82"/>
      <c r="H689" s="82"/>
      <c r="I689" s="82"/>
      <c r="J689" s="82"/>
      <c r="K689" s="82"/>
    </row>
    <row r="690" spans="1:11" ht="14.25" customHeight="1" x14ac:dyDescent="0.25">
      <c r="A690" s="82"/>
      <c r="B690" s="82"/>
      <c r="C690" s="82"/>
      <c r="D690" s="82"/>
      <c r="E690" s="82"/>
      <c r="F690" s="82"/>
      <c r="G690" s="82"/>
      <c r="H690" s="82"/>
      <c r="I690" s="82"/>
      <c r="J690" s="82"/>
      <c r="K690" s="82"/>
    </row>
    <row r="691" spans="1:11" ht="14.25" customHeight="1" x14ac:dyDescent="0.25">
      <c r="A691" s="82"/>
      <c r="B691" s="82"/>
      <c r="C691" s="82"/>
      <c r="D691" s="82"/>
      <c r="E691" s="82"/>
      <c r="F691" s="82"/>
      <c r="G691" s="82"/>
      <c r="H691" s="82"/>
      <c r="I691" s="82"/>
      <c r="J691" s="82"/>
      <c r="K691" s="82"/>
    </row>
    <row r="692" spans="1:11" ht="14.25" customHeight="1" x14ac:dyDescent="0.25">
      <c r="A692" s="82"/>
      <c r="B692" s="82"/>
      <c r="C692" s="82"/>
      <c r="D692" s="82"/>
      <c r="E692" s="82"/>
      <c r="F692" s="82"/>
      <c r="G692" s="82"/>
      <c r="H692" s="82"/>
      <c r="I692" s="82"/>
      <c r="J692" s="82"/>
      <c r="K692" s="82"/>
    </row>
    <row r="693" spans="1:11" ht="14.25" customHeight="1" x14ac:dyDescent="0.25">
      <c r="A693" s="82"/>
      <c r="B693" s="82"/>
      <c r="C693" s="82"/>
      <c r="D693" s="82"/>
      <c r="E693" s="82"/>
      <c r="F693" s="82"/>
      <c r="G693" s="82"/>
      <c r="H693" s="82"/>
      <c r="I693" s="82"/>
      <c r="J693" s="82"/>
      <c r="K693" s="82"/>
    </row>
    <row r="694" spans="1:11" ht="14.25" customHeight="1" x14ac:dyDescent="0.25">
      <c r="A694" s="82"/>
      <c r="B694" s="82"/>
      <c r="C694" s="82"/>
      <c r="D694" s="82"/>
      <c r="E694" s="82"/>
      <c r="F694" s="82"/>
      <c r="G694" s="82"/>
      <c r="H694" s="82"/>
      <c r="I694" s="82"/>
      <c r="J694" s="82"/>
      <c r="K694" s="82"/>
    </row>
    <row r="695" spans="1:11" ht="14.25" customHeight="1" x14ac:dyDescent="0.25">
      <c r="A695" s="82"/>
      <c r="B695" s="82"/>
      <c r="C695" s="82"/>
      <c r="D695" s="82"/>
      <c r="E695" s="82"/>
      <c r="F695" s="82"/>
      <c r="G695" s="82"/>
      <c r="H695" s="82"/>
      <c r="I695" s="82"/>
      <c r="J695" s="82"/>
      <c r="K695" s="82"/>
    </row>
    <row r="696" spans="1:11" ht="14.25" customHeight="1" x14ac:dyDescent="0.25">
      <c r="A696" s="82"/>
      <c r="B696" s="82"/>
      <c r="C696" s="82"/>
      <c r="D696" s="82"/>
      <c r="E696" s="82"/>
      <c r="F696" s="82"/>
      <c r="G696" s="82"/>
      <c r="H696" s="82"/>
      <c r="I696" s="82"/>
      <c r="J696" s="82"/>
      <c r="K696" s="82"/>
    </row>
    <row r="697" spans="1:11" ht="14.25" customHeight="1" x14ac:dyDescent="0.25">
      <c r="A697" s="82"/>
      <c r="B697" s="82"/>
      <c r="C697" s="82"/>
      <c r="D697" s="82"/>
      <c r="E697" s="82"/>
      <c r="F697" s="82"/>
      <c r="G697" s="82"/>
      <c r="H697" s="82"/>
      <c r="I697" s="82"/>
      <c r="J697" s="82"/>
      <c r="K697" s="82"/>
    </row>
    <row r="698" spans="1:11" ht="14.25" customHeight="1" x14ac:dyDescent="0.25">
      <c r="A698" s="82"/>
      <c r="B698" s="82"/>
      <c r="C698" s="82"/>
      <c r="D698" s="82"/>
      <c r="E698" s="82"/>
      <c r="F698" s="82"/>
      <c r="G698" s="82"/>
      <c r="H698" s="82"/>
      <c r="I698" s="82"/>
      <c r="J698" s="82"/>
      <c r="K698" s="82"/>
    </row>
    <row r="699" spans="1:11" ht="14.25" customHeight="1" x14ac:dyDescent="0.25">
      <c r="A699" s="82"/>
      <c r="B699" s="82"/>
      <c r="C699" s="82"/>
      <c r="D699" s="82"/>
      <c r="E699" s="82"/>
      <c r="F699" s="82"/>
      <c r="G699" s="82"/>
      <c r="H699" s="82"/>
      <c r="I699" s="82"/>
      <c r="J699" s="82"/>
      <c r="K699" s="82"/>
    </row>
    <row r="700" spans="1:11" ht="14.25" customHeight="1" x14ac:dyDescent="0.25">
      <c r="A700" s="82"/>
      <c r="B700" s="82"/>
      <c r="C700" s="82"/>
      <c r="D700" s="82"/>
      <c r="E700" s="82"/>
      <c r="F700" s="82"/>
      <c r="G700" s="82"/>
      <c r="H700" s="82"/>
      <c r="I700" s="82"/>
      <c r="J700" s="82"/>
      <c r="K700" s="82"/>
    </row>
    <row r="701" spans="1:11" ht="14.25" customHeight="1" x14ac:dyDescent="0.25">
      <c r="A701" s="82"/>
      <c r="B701" s="82"/>
      <c r="C701" s="82"/>
      <c r="D701" s="82"/>
      <c r="E701" s="82"/>
      <c r="F701" s="82"/>
      <c r="G701" s="82"/>
      <c r="H701" s="82"/>
      <c r="I701" s="82"/>
      <c r="J701" s="82"/>
      <c r="K701" s="82"/>
    </row>
    <row r="702" spans="1:11" ht="14.25" customHeight="1" x14ac:dyDescent="0.25">
      <c r="A702" s="82"/>
      <c r="B702" s="82"/>
      <c r="C702" s="82"/>
      <c r="D702" s="82"/>
      <c r="E702" s="82"/>
      <c r="F702" s="82"/>
      <c r="G702" s="82"/>
      <c r="H702" s="82"/>
      <c r="I702" s="82"/>
      <c r="J702" s="82"/>
      <c r="K702" s="82"/>
    </row>
    <row r="703" spans="1:11" ht="14.25" customHeight="1" x14ac:dyDescent="0.25">
      <c r="A703" s="82"/>
      <c r="B703" s="82"/>
      <c r="C703" s="82"/>
      <c r="D703" s="82"/>
      <c r="E703" s="82"/>
      <c r="F703" s="82"/>
      <c r="G703" s="82"/>
      <c r="H703" s="82"/>
      <c r="I703" s="82"/>
      <c r="J703" s="82"/>
      <c r="K703" s="82"/>
    </row>
    <row r="704" spans="1:11" ht="14.25" customHeight="1" x14ac:dyDescent="0.25">
      <c r="A704" s="82"/>
      <c r="B704" s="82"/>
      <c r="C704" s="82"/>
      <c r="D704" s="82"/>
      <c r="E704" s="82"/>
      <c r="F704" s="82"/>
      <c r="G704" s="82"/>
      <c r="H704" s="82"/>
      <c r="I704" s="82"/>
      <c r="J704" s="82"/>
      <c r="K704" s="82"/>
    </row>
    <row r="705" spans="1:11" ht="14.25" customHeight="1" x14ac:dyDescent="0.25">
      <c r="A705" s="82"/>
      <c r="B705" s="82"/>
      <c r="C705" s="82"/>
      <c r="D705" s="82"/>
      <c r="E705" s="82"/>
      <c r="F705" s="82"/>
      <c r="G705" s="82"/>
      <c r="H705" s="82"/>
      <c r="I705" s="82"/>
      <c r="J705" s="82"/>
      <c r="K705" s="82"/>
    </row>
    <row r="706" spans="1:11" ht="14.25" customHeight="1" x14ac:dyDescent="0.25">
      <c r="A706" s="82"/>
      <c r="B706" s="82"/>
      <c r="C706" s="82"/>
      <c r="D706" s="82"/>
      <c r="E706" s="82"/>
      <c r="F706" s="82"/>
      <c r="G706" s="82"/>
      <c r="H706" s="82"/>
      <c r="I706" s="82"/>
      <c r="J706" s="82"/>
      <c r="K706" s="82"/>
    </row>
    <row r="707" spans="1:11" ht="14.25" customHeight="1" x14ac:dyDescent="0.25">
      <c r="A707" s="82"/>
      <c r="B707" s="82"/>
      <c r="C707" s="82"/>
      <c r="D707" s="82"/>
      <c r="E707" s="82"/>
      <c r="F707" s="82"/>
      <c r="G707" s="82"/>
      <c r="H707" s="82"/>
      <c r="I707" s="82"/>
      <c r="J707" s="82"/>
      <c r="K707" s="82"/>
    </row>
    <row r="708" spans="1:11" ht="14.25" customHeight="1" x14ac:dyDescent="0.25">
      <c r="A708" s="82"/>
      <c r="B708" s="82"/>
      <c r="C708" s="82"/>
      <c r="D708" s="82"/>
      <c r="E708" s="82"/>
      <c r="F708" s="82"/>
      <c r="G708" s="82"/>
      <c r="H708" s="82"/>
      <c r="I708" s="82"/>
      <c r="J708" s="82"/>
      <c r="K708" s="82"/>
    </row>
    <row r="709" spans="1:11" ht="14.25" customHeight="1" x14ac:dyDescent="0.25">
      <c r="A709" s="82"/>
      <c r="B709" s="82"/>
      <c r="C709" s="82"/>
      <c r="D709" s="82"/>
      <c r="E709" s="82"/>
      <c r="F709" s="82"/>
      <c r="G709" s="82"/>
      <c r="H709" s="82"/>
      <c r="I709" s="82"/>
      <c r="J709" s="82"/>
      <c r="K709" s="82"/>
    </row>
    <row r="710" spans="1:11" ht="14.25" customHeight="1" x14ac:dyDescent="0.25">
      <c r="A710" s="82"/>
      <c r="B710" s="82"/>
      <c r="C710" s="82"/>
      <c r="D710" s="82"/>
      <c r="E710" s="82"/>
      <c r="F710" s="82"/>
      <c r="G710" s="82"/>
      <c r="H710" s="82"/>
      <c r="I710" s="82"/>
      <c r="J710" s="82"/>
      <c r="K710" s="82"/>
    </row>
    <row r="711" spans="1:11" ht="14.25" customHeight="1" x14ac:dyDescent="0.25">
      <c r="A711" s="82"/>
      <c r="B711" s="82"/>
      <c r="C711" s="82"/>
      <c r="D711" s="82"/>
      <c r="E711" s="82"/>
      <c r="F711" s="82"/>
      <c r="G711" s="82"/>
      <c r="H711" s="82"/>
      <c r="I711" s="82"/>
      <c r="J711" s="82"/>
      <c r="K711" s="82"/>
    </row>
    <row r="712" spans="1:11" ht="14.25" customHeight="1" x14ac:dyDescent="0.25">
      <c r="A712" s="82"/>
      <c r="B712" s="82"/>
      <c r="C712" s="82"/>
      <c r="D712" s="82"/>
      <c r="E712" s="82"/>
      <c r="F712" s="82"/>
      <c r="G712" s="82"/>
      <c r="H712" s="82"/>
      <c r="I712" s="82"/>
      <c r="J712" s="82"/>
      <c r="K712" s="82"/>
    </row>
    <row r="713" spans="1:11" ht="14.25" customHeight="1" x14ac:dyDescent="0.25">
      <c r="A713" s="82"/>
      <c r="B713" s="82"/>
      <c r="C713" s="82"/>
      <c r="D713" s="82"/>
      <c r="E713" s="82"/>
      <c r="F713" s="82"/>
      <c r="G713" s="82"/>
      <c r="H713" s="82"/>
      <c r="I713" s="82"/>
      <c r="J713" s="82"/>
      <c r="K713" s="82"/>
    </row>
    <row r="714" spans="1:11" ht="14.25" customHeight="1" x14ac:dyDescent="0.25">
      <c r="A714" s="82"/>
      <c r="B714" s="82"/>
      <c r="C714" s="82"/>
      <c r="D714" s="82"/>
      <c r="E714" s="82"/>
      <c r="F714" s="82"/>
      <c r="G714" s="82"/>
      <c r="H714" s="82"/>
      <c r="I714" s="82"/>
      <c r="J714" s="82"/>
      <c r="K714" s="82"/>
    </row>
    <row r="715" spans="1:11" ht="14.25" customHeight="1" x14ac:dyDescent="0.25">
      <c r="A715" s="82"/>
      <c r="B715" s="82"/>
      <c r="C715" s="82"/>
      <c r="D715" s="82"/>
      <c r="E715" s="82"/>
      <c r="F715" s="82"/>
      <c r="G715" s="82"/>
      <c r="H715" s="82"/>
      <c r="I715" s="82"/>
      <c r="J715" s="82"/>
      <c r="K715" s="82"/>
    </row>
    <row r="716" spans="1:11" ht="14.25" customHeight="1" x14ac:dyDescent="0.25">
      <c r="A716" s="82"/>
      <c r="B716" s="82"/>
      <c r="C716" s="82"/>
      <c r="D716" s="82"/>
      <c r="E716" s="82"/>
      <c r="F716" s="82"/>
      <c r="G716" s="82"/>
      <c r="H716" s="82"/>
      <c r="I716" s="82"/>
      <c r="J716" s="82"/>
      <c r="K716" s="82"/>
    </row>
    <row r="717" spans="1:11" ht="14.25" customHeight="1" x14ac:dyDescent="0.25">
      <c r="A717" s="82"/>
      <c r="B717" s="82"/>
      <c r="C717" s="82"/>
      <c r="D717" s="82"/>
      <c r="E717" s="82"/>
      <c r="F717" s="82"/>
      <c r="G717" s="82"/>
      <c r="H717" s="82"/>
      <c r="I717" s="82"/>
      <c r="J717" s="82"/>
      <c r="K717" s="82"/>
    </row>
    <row r="718" spans="1:11" ht="14.25" customHeight="1" x14ac:dyDescent="0.25">
      <c r="A718" s="82"/>
      <c r="B718" s="82"/>
      <c r="C718" s="82"/>
      <c r="D718" s="82"/>
      <c r="E718" s="82"/>
      <c r="F718" s="82"/>
      <c r="G718" s="82"/>
      <c r="H718" s="82"/>
      <c r="I718" s="82"/>
      <c r="J718" s="82"/>
      <c r="K718" s="82"/>
    </row>
    <row r="719" spans="1:11" ht="14.25" customHeight="1" x14ac:dyDescent="0.25">
      <c r="A719" s="82"/>
      <c r="B719" s="82"/>
      <c r="C719" s="82"/>
      <c r="D719" s="82"/>
      <c r="E719" s="82"/>
      <c r="F719" s="82"/>
      <c r="G719" s="82"/>
      <c r="H719" s="82"/>
      <c r="I719" s="82"/>
      <c r="J719" s="82"/>
      <c r="K719" s="82"/>
    </row>
    <row r="720" spans="1:11" ht="14.25" customHeight="1" x14ac:dyDescent="0.25">
      <c r="A720" s="82"/>
      <c r="B720" s="82"/>
      <c r="C720" s="82"/>
      <c r="D720" s="82"/>
      <c r="E720" s="82"/>
      <c r="F720" s="82"/>
      <c r="G720" s="82"/>
      <c r="H720" s="82"/>
      <c r="I720" s="82"/>
      <c r="J720" s="82"/>
      <c r="K720" s="82"/>
    </row>
    <row r="721" spans="1:11" ht="14.25" customHeight="1" x14ac:dyDescent="0.25">
      <c r="A721" s="82"/>
      <c r="B721" s="82"/>
      <c r="C721" s="82"/>
      <c r="D721" s="82"/>
      <c r="E721" s="82"/>
      <c r="F721" s="82"/>
      <c r="G721" s="82"/>
      <c r="H721" s="82"/>
      <c r="I721" s="82"/>
      <c r="J721" s="82"/>
      <c r="K721" s="82"/>
    </row>
    <row r="722" spans="1:11" ht="14.25" customHeight="1" x14ac:dyDescent="0.25">
      <c r="A722" s="82"/>
      <c r="B722" s="82"/>
      <c r="C722" s="82"/>
      <c r="D722" s="82"/>
      <c r="E722" s="82"/>
      <c r="F722" s="82"/>
      <c r="G722" s="82"/>
      <c r="H722" s="82"/>
      <c r="I722" s="82"/>
      <c r="J722" s="82"/>
      <c r="K722" s="82"/>
    </row>
    <row r="723" spans="1:11" ht="14.25" customHeight="1" x14ac:dyDescent="0.25">
      <c r="A723" s="82"/>
      <c r="B723" s="82"/>
      <c r="C723" s="82"/>
      <c r="D723" s="82"/>
      <c r="E723" s="82"/>
      <c r="F723" s="82"/>
      <c r="G723" s="82"/>
      <c r="H723" s="82"/>
      <c r="I723" s="82"/>
      <c r="J723" s="82"/>
      <c r="K723" s="82"/>
    </row>
    <row r="724" spans="1:11" ht="14.25" customHeight="1" x14ac:dyDescent="0.25">
      <c r="A724" s="82"/>
      <c r="B724" s="82"/>
      <c r="C724" s="82"/>
      <c r="D724" s="82"/>
      <c r="E724" s="82"/>
      <c r="F724" s="82"/>
      <c r="G724" s="82"/>
      <c r="H724" s="82"/>
      <c r="I724" s="82"/>
      <c r="J724" s="82"/>
      <c r="K724" s="82"/>
    </row>
    <row r="725" spans="1:11" ht="14.25" customHeight="1" x14ac:dyDescent="0.25">
      <c r="A725" s="82"/>
      <c r="B725" s="82"/>
      <c r="C725" s="82"/>
      <c r="D725" s="82"/>
      <c r="E725" s="82"/>
      <c r="F725" s="82"/>
      <c r="G725" s="82"/>
      <c r="H725" s="82"/>
      <c r="I725" s="82"/>
      <c r="J725" s="82"/>
      <c r="K725" s="82"/>
    </row>
    <row r="726" spans="1:11" ht="14.25" customHeight="1" x14ac:dyDescent="0.25">
      <c r="A726" s="82"/>
      <c r="B726" s="82"/>
      <c r="C726" s="82"/>
      <c r="D726" s="82"/>
      <c r="E726" s="82"/>
      <c r="F726" s="82"/>
      <c r="G726" s="82"/>
      <c r="H726" s="82"/>
      <c r="I726" s="82"/>
      <c r="J726" s="82"/>
      <c r="K726" s="82"/>
    </row>
    <row r="727" spans="1:11" ht="14.25" customHeight="1" x14ac:dyDescent="0.25">
      <c r="A727" s="82"/>
      <c r="B727" s="82"/>
      <c r="C727" s="82"/>
      <c r="D727" s="82"/>
      <c r="E727" s="82"/>
      <c r="F727" s="82"/>
      <c r="G727" s="82"/>
      <c r="H727" s="82"/>
      <c r="I727" s="82"/>
      <c r="J727" s="82"/>
      <c r="K727" s="82"/>
    </row>
    <row r="728" spans="1:11" ht="14.25" customHeight="1" x14ac:dyDescent="0.25">
      <c r="A728" s="82"/>
      <c r="B728" s="82"/>
      <c r="C728" s="82"/>
      <c r="D728" s="82"/>
      <c r="E728" s="82"/>
      <c r="F728" s="82"/>
      <c r="G728" s="82"/>
      <c r="H728" s="82"/>
      <c r="I728" s="82"/>
      <c r="J728" s="82"/>
      <c r="K728" s="82"/>
    </row>
    <row r="729" spans="1:11" ht="14.25" customHeight="1" x14ac:dyDescent="0.25">
      <c r="A729" s="82"/>
      <c r="B729" s="82"/>
      <c r="C729" s="82"/>
      <c r="D729" s="82"/>
      <c r="E729" s="82"/>
      <c r="F729" s="82"/>
      <c r="G729" s="82"/>
      <c r="H729" s="82"/>
      <c r="I729" s="82"/>
      <c r="J729" s="82"/>
      <c r="K729" s="82"/>
    </row>
    <row r="730" spans="1:11" ht="14.25" customHeight="1" x14ac:dyDescent="0.25">
      <c r="A730" s="82"/>
      <c r="B730" s="82"/>
      <c r="C730" s="82"/>
      <c r="D730" s="82"/>
      <c r="E730" s="82"/>
      <c r="F730" s="82"/>
      <c r="G730" s="82"/>
      <c r="H730" s="82"/>
      <c r="I730" s="82"/>
      <c r="J730" s="82"/>
      <c r="K730" s="82"/>
    </row>
    <row r="731" spans="1:11" ht="14.25" customHeight="1" x14ac:dyDescent="0.25">
      <c r="A731" s="82"/>
      <c r="B731" s="82"/>
      <c r="C731" s="82"/>
      <c r="D731" s="82"/>
      <c r="E731" s="82"/>
      <c r="F731" s="82"/>
      <c r="G731" s="82"/>
      <c r="H731" s="82"/>
      <c r="I731" s="82"/>
      <c r="J731" s="82"/>
      <c r="K731" s="82"/>
    </row>
    <row r="732" spans="1:11" ht="14.25" customHeight="1" x14ac:dyDescent="0.25">
      <c r="A732" s="82"/>
      <c r="B732" s="82"/>
      <c r="C732" s="82"/>
      <c r="D732" s="82"/>
      <c r="E732" s="82"/>
      <c r="F732" s="82"/>
      <c r="G732" s="82"/>
      <c r="H732" s="82"/>
      <c r="I732" s="82"/>
      <c r="J732" s="82"/>
      <c r="K732" s="82"/>
    </row>
    <row r="733" spans="1:11" ht="14.25" customHeight="1" x14ac:dyDescent="0.25">
      <c r="A733" s="82"/>
      <c r="B733" s="82"/>
      <c r="C733" s="82"/>
      <c r="D733" s="82"/>
      <c r="E733" s="82"/>
      <c r="F733" s="82"/>
      <c r="G733" s="82"/>
      <c r="H733" s="82"/>
      <c r="I733" s="82"/>
      <c r="J733" s="82"/>
      <c r="K733" s="82"/>
    </row>
    <row r="734" spans="1:11" ht="14.25" customHeight="1" x14ac:dyDescent="0.25">
      <c r="A734" s="82"/>
      <c r="B734" s="82"/>
      <c r="C734" s="82"/>
      <c r="D734" s="82"/>
      <c r="E734" s="82"/>
      <c r="F734" s="82"/>
      <c r="G734" s="82"/>
      <c r="H734" s="82"/>
      <c r="I734" s="82"/>
      <c r="J734" s="82"/>
      <c r="K734" s="82"/>
    </row>
    <row r="735" spans="1:11" ht="14.25" customHeight="1" x14ac:dyDescent="0.25">
      <c r="A735" s="82"/>
      <c r="B735" s="82"/>
      <c r="C735" s="82"/>
      <c r="D735" s="82"/>
      <c r="E735" s="82"/>
      <c r="F735" s="82"/>
      <c r="G735" s="82"/>
      <c r="H735" s="82"/>
      <c r="I735" s="82"/>
      <c r="J735" s="82"/>
      <c r="K735" s="82"/>
    </row>
    <row r="736" spans="1:11" ht="14.25" customHeight="1" x14ac:dyDescent="0.25">
      <c r="A736" s="82"/>
      <c r="B736" s="82"/>
      <c r="C736" s="82"/>
      <c r="D736" s="82"/>
      <c r="E736" s="82"/>
      <c r="F736" s="82"/>
      <c r="G736" s="82"/>
      <c r="H736" s="82"/>
      <c r="I736" s="82"/>
      <c r="J736" s="82"/>
      <c r="K736" s="82"/>
    </row>
    <row r="737" spans="1:11" ht="14.25" customHeight="1" x14ac:dyDescent="0.25">
      <c r="A737" s="82"/>
      <c r="B737" s="82"/>
      <c r="C737" s="82"/>
      <c r="D737" s="82"/>
      <c r="E737" s="82"/>
      <c r="F737" s="82"/>
      <c r="G737" s="82"/>
      <c r="H737" s="82"/>
      <c r="I737" s="82"/>
      <c r="J737" s="82"/>
      <c r="K737" s="82"/>
    </row>
    <row r="738" spans="1:11" ht="14.25" customHeight="1" x14ac:dyDescent="0.25">
      <c r="A738" s="82"/>
      <c r="B738" s="82"/>
      <c r="C738" s="82"/>
      <c r="D738" s="82"/>
      <c r="E738" s="82"/>
      <c r="F738" s="82"/>
      <c r="G738" s="82"/>
      <c r="H738" s="82"/>
      <c r="I738" s="82"/>
      <c r="J738" s="82"/>
      <c r="K738" s="82"/>
    </row>
    <row r="739" spans="1:11" ht="14.25" customHeight="1" x14ac:dyDescent="0.25">
      <c r="A739" s="82"/>
      <c r="B739" s="82"/>
      <c r="C739" s="82"/>
      <c r="D739" s="82"/>
      <c r="E739" s="82"/>
      <c r="F739" s="82"/>
      <c r="G739" s="82"/>
      <c r="H739" s="82"/>
      <c r="I739" s="82"/>
      <c r="J739" s="82"/>
      <c r="K739" s="82"/>
    </row>
    <row r="740" spans="1:11" ht="14.25" customHeight="1" x14ac:dyDescent="0.25">
      <c r="A740" s="82"/>
      <c r="B740" s="82"/>
      <c r="C740" s="82"/>
      <c r="D740" s="82"/>
      <c r="E740" s="82"/>
      <c r="F740" s="82"/>
      <c r="G740" s="82"/>
      <c r="H740" s="82"/>
      <c r="I740" s="82"/>
      <c r="J740" s="82"/>
      <c r="K740" s="82"/>
    </row>
    <row r="741" spans="1:11" ht="14.25" customHeight="1" x14ac:dyDescent="0.25">
      <c r="A741" s="82"/>
      <c r="B741" s="82"/>
      <c r="C741" s="82"/>
      <c r="D741" s="82"/>
      <c r="E741" s="82"/>
      <c r="F741" s="82"/>
      <c r="G741" s="82"/>
      <c r="H741" s="82"/>
      <c r="I741" s="82"/>
      <c r="J741" s="82"/>
      <c r="K741" s="82"/>
    </row>
    <row r="742" spans="1:11" ht="14.25" customHeight="1" x14ac:dyDescent="0.25">
      <c r="A742" s="82"/>
      <c r="B742" s="82"/>
      <c r="C742" s="82"/>
      <c r="D742" s="82"/>
      <c r="E742" s="82"/>
      <c r="F742" s="82"/>
      <c r="G742" s="82"/>
      <c r="H742" s="82"/>
      <c r="I742" s="82"/>
      <c r="J742" s="82"/>
      <c r="K742" s="82"/>
    </row>
    <row r="743" spans="1:11" ht="14.25" customHeight="1" x14ac:dyDescent="0.25">
      <c r="A743" s="82"/>
      <c r="B743" s="82"/>
      <c r="C743" s="82"/>
      <c r="D743" s="82"/>
      <c r="E743" s="82"/>
      <c r="F743" s="82"/>
      <c r="G743" s="82"/>
      <c r="H743" s="82"/>
      <c r="I743" s="82"/>
      <c r="J743" s="82"/>
      <c r="K743" s="82"/>
    </row>
    <row r="744" spans="1:11" ht="14.25" customHeight="1" x14ac:dyDescent="0.25">
      <c r="A744" s="82"/>
      <c r="B744" s="82"/>
      <c r="C744" s="82"/>
      <c r="D744" s="82"/>
      <c r="E744" s="82"/>
      <c r="F744" s="82"/>
      <c r="G744" s="82"/>
      <c r="H744" s="82"/>
      <c r="I744" s="82"/>
      <c r="J744" s="82"/>
      <c r="K744" s="82"/>
    </row>
    <row r="745" spans="1:11" ht="14.25" customHeight="1" x14ac:dyDescent="0.25">
      <c r="A745" s="82"/>
      <c r="B745" s="82"/>
      <c r="C745" s="82"/>
      <c r="D745" s="82"/>
      <c r="E745" s="82"/>
      <c r="F745" s="82"/>
      <c r="G745" s="82"/>
      <c r="H745" s="82"/>
      <c r="I745" s="82"/>
      <c r="J745" s="82"/>
      <c r="K745" s="82"/>
    </row>
    <row r="746" spans="1:11" ht="14.25" customHeight="1" x14ac:dyDescent="0.25">
      <c r="A746" s="82"/>
      <c r="B746" s="82"/>
      <c r="C746" s="82"/>
      <c r="D746" s="82"/>
      <c r="E746" s="82"/>
      <c r="F746" s="82"/>
      <c r="G746" s="82"/>
      <c r="H746" s="82"/>
      <c r="I746" s="82"/>
      <c r="J746" s="82"/>
      <c r="K746" s="82"/>
    </row>
    <row r="747" spans="1:11" ht="14.25" customHeight="1" x14ac:dyDescent="0.25">
      <c r="A747" s="82"/>
      <c r="B747" s="82"/>
      <c r="C747" s="82"/>
      <c r="D747" s="82"/>
      <c r="E747" s="82"/>
      <c r="F747" s="82"/>
      <c r="G747" s="82"/>
      <c r="H747" s="82"/>
      <c r="I747" s="82"/>
      <c r="J747" s="82"/>
      <c r="K747" s="82"/>
    </row>
    <row r="748" spans="1:11" ht="14.25" customHeight="1" x14ac:dyDescent="0.25">
      <c r="A748" s="82"/>
      <c r="B748" s="82"/>
      <c r="C748" s="82"/>
      <c r="D748" s="82"/>
      <c r="E748" s="82"/>
      <c r="F748" s="82"/>
      <c r="G748" s="82"/>
      <c r="H748" s="82"/>
      <c r="I748" s="82"/>
      <c r="J748" s="82"/>
      <c r="K748" s="82"/>
    </row>
    <row r="749" spans="1:11" ht="14.25" customHeight="1" x14ac:dyDescent="0.25">
      <c r="A749" s="82"/>
      <c r="B749" s="82"/>
      <c r="C749" s="82"/>
      <c r="D749" s="82"/>
      <c r="E749" s="82"/>
      <c r="F749" s="82"/>
      <c r="G749" s="82"/>
      <c r="H749" s="82"/>
      <c r="I749" s="82"/>
      <c r="J749" s="82"/>
      <c r="K749" s="82"/>
    </row>
    <row r="750" spans="1:11" ht="14.25" customHeight="1" x14ac:dyDescent="0.25">
      <c r="A750" s="82"/>
      <c r="B750" s="82"/>
      <c r="C750" s="82"/>
      <c r="D750" s="82"/>
      <c r="E750" s="82"/>
      <c r="F750" s="82"/>
      <c r="G750" s="82"/>
      <c r="H750" s="82"/>
      <c r="I750" s="82"/>
      <c r="J750" s="82"/>
      <c r="K750" s="82"/>
    </row>
    <row r="751" spans="1:11" ht="14.25" customHeight="1" x14ac:dyDescent="0.25">
      <c r="A751" s="82"/>
      <c r="B751" s="82"/>
      <c r="C751" s="82"/>
      <c r="D751" s="82"/>
      <c r="E751" s="82"/>
      <c r="F751" s="82"/>
      <c r="G751" s="82"/>
      <c r="H751" s="82"/>
      <c r="I751" s="82"/>
      <c r="J751" s="82"/>
      <c r="K751" s="82"/>
    </row>
    <row r="752" spans="1:11" ht="14.25" customHeight="1" x14ac:dyDescent="0.25">
      <c r="A752" s="82"/>
      <c r="B752" s="82"/>
      <c r="C752" s="82"/>
      <c r="D752" s="82"/>
      <c r="E752" s="82"/>
      <c r="F752" s="82"/>
      <c r="G752" s="82"/>
      <c r="H752" s="82"/>
      <c r="I752" s="82"/>
      <c r="J752" s="82"/>
      <c r="K752" s="82"/>
    </row>
    <row r="753" spans="1:11" ht="14.25" customHeight="1" x14ac:dyDescent="0.25">
      <c r="A753" s="82"/>
      <c r="B753" s="82"/>
      <c r="C753" s="82"/>
      <c r="D753" s="82"/>
      <c r="E753" s="82"/>
      <c r="F753" s="82"/>
      <c r="G753" s="82"/>
      <c r="H753" s="82"/>
      <c r="I753" s="82"/>
      <c r="J753" s="82"/>
      <c r="K753" s="82"/>
    </row>
    <row r="754" spans="1:11" ht="14.25" customHeight="1" x14ac:dyDescent="0.25">
      <c r="A754" s="82"/>
      <c r="B754" s="82"/>
      <c r="C754" s="82"/>
      <c r="D754" s="82"/>
      <c r="E754" s="82"/>
      <c r="F754" s="82"/>
      <c r="G754" s="82"/>
      <c r="H754" s="82"/>
      <c r="I754" s="82"/>
      <c r="J754" s="82"/>
      <c r="K754" s="82"/>
    </row>
    <row r="755" spans="1:11" ht="14.25" customHeight="1" x14ac:dyDescent="0.25">
      <c r="A755" s="82"/>
      <c r="B755" s="82"/>
      <c r="C755" s="82"/>
      <c r="D755" s="82"/>
      <c r="E755" s="82"/>
      <c r="F755" s="82"/>
      <c r="G755" s="82"/>
      <c r="H755" s="82"/>
      <c r="I755" s="82"/>
      <c r="J755" s="82"/>
      <c r="K755" s="82"/>
    </row>
    <row r="756" spans="1:11" ht="14.25" customHeight="1" x14ac:dyDescent="0.25">
      <c r="A756" s="82"/>
      <c r="B756" s="82"/>
      <c r="C756" s="82"/>
      <c r="D756" s="82"/>
      <c r="E756" s="82"/>
      <c r="F756" s="82"/>
      <c r="G756" s="82"/>
      <c r="H756" s="82"/>
      <c r="I756" s="82"/>
      <c r="J756" s="82"/>
      <c r="K756" s="82"/>
    </row>
    <row r="757" spans="1:11" ht="14.25" customHeight="1" x14ac:dyDescent="0.25">
      <c r="A757" s="82"/>
      <c r="B757" s="82"/>
      <c r="C757" s="82"/>
      <c r="D757" s="82"/>
      <c r="E757" s="82"/>
      <c r="F757" s="82"/>
      <c r="G757" s="82"/>
      <c r="H757" s="82"/>
      <c r="I757" s="82"/>
      <c r="J757" s="82"/>
      <c r="K757" s="82"/>
    </row>
    <row r="758" spans="1:11" ht="14.25" customHeight="1" x14ac:dyDescent="0.25">
      <c r="A758" s="82"/>
      <c r="B758" s="82"/>
      <c r="C758" s="82"/>
      <c r="D758" s="82"/>
      <c r="E758" s="82"/>
      <c r="F758" s="82"/>
      <c r="G758" s="82"/>
      <c r="H758" s="82"/>
      <c r="I758" s="82"/>
      <c r="J758" s="82"/>
      <c r="K758" s="82"/>
    </row>
    <row r="759" spans="1:11" ht="14.25" customHeight="1" x14ac:dyDescent="0.25">
      <c r="A759" s="82"/>
      <c r="B759" s="82"/>
      <c r="C759" s="82"/>
      <c r="D759" s="82"/>
      <c r="E759" s="82"/>
      <c r="F759" s="82"/>
      <c r="G759" s="82"/>
      <c r="H759" s="82"/>
      <c r="I759" s="82"/>
      <c r="J759" s="82"/>
      <c r="K759" s="82"/>
    </row>
    <row r="760" spans="1:11" ht="14.25" customHeight="1" x14ac:dyDescent="0.25">
      <c r="A760" s="82"/>
      <c r="B760" s="82"/>
      <c r="C760" s="82"/>
      <c r="D760" s="82"/>
      <c r="E760" s="82"/>
      <c r="F760" s="82"/>
      <c r="G760" s="82"/>
      <c r="H760" s="82"/>
      <c r="I760" s="82"/>
      <c r="J760" s="82"/>
      <c r="K760" s="82"/>
    </row>
    <row r="761" spans="1:11" ht="14.25" customHeight="1" x14ac:dyDescent="0.25">
      <c r="A761" s="82"/>
      <c r="B761" s="82"/>
      <c r="C761" s="82"/>
      <c r="D761" s="82"/>
      <c r="E761" s="82"/>
      <c r="F761" s="82"/>
      <c r="G761" s="82"/>
      <c r="H761" s="82"/>
      <c r="I761" s="82"/>
      <c r="J761" s="82"/>
      <c r="K761" s="82"/>
    </row>
    <row r="762" spans="1:11" ht="14.25" customHeight="1" x14ac:dyDescent="0.25">
      <c r="A762" s="82"/>
      <c r="B762" s="82"/>
      <c r="C762" s="82"/>
      <c r="D762" s="82"/>
      <c r="E762" s="82"/>
      <c r="F762" s="82"/>
      <c r="G762" s="82"/>
      <c r="H762" s="82"/>
      <c r="I762" s="82"/>
      <c r="J762" s="82"/>
      <c r="K762" s="82"/>
    </row>
    <row r="763" spans="1:11" ht="14.25" customHeight="1" x14ac:dyDescent="0.25">
      <c r="A763" s="82"/>
      <c r="B763" s="82"/>
      <c r="C763" s="82"/>
      <c r="D763" s="82"/>
      <c r="E763" s="82"/>
      <c r="F763" s="82"/>
      <c r="G763" s="82"/>
      <c r="H763" s="82"/>
      <c r="I763" s="82"/>
      <c r="J763" s="82"/>
      <c r="K763" s="82"/>
    </row>
    <row r="764" spans="1:11" ht="14.25" customHeight="1" x14ac:dyDescent="0.25">
      <c r="A764" s="82"/>
      <c r="B764" s="82"/>
      <c r="C764" s="82"/>
      <c r="D764" s="82"/>
      <c r="E764" s="82"/>
      <c r="F764" s="82"/>
      <c r="G764" s="82"/>
      <c r="H764" s="82"/>
      <c r="I764" s="82"/>
      <c r="J764" s="82"/>
      <c r="K764" s="82"/>
    </row>
    <row r="765" spans="1:11" ht="14.25" customHeight="1" x14ac:dyDescent="0.25">
      <c r="A765" s="82"/>
      <c r="B765" s="82"/>
      <c r="C765" s="82"/>
      <c r="D765" s="82"/>
      <c r="E765" s="82"/>
      <c r="F765" s="82"/>
      <c r="G765" s="82"/>
      <c r="H765" s="82"/>
      <c r="I765" s="82"/>
      <c r="J765" s="82"/>
      <c r="K765" s="82"/>
    </row>
    <row r="766" spans="1:11" ht="14.25" customHeight="1" x14ac:dyDescent="0.25">
      <c r="A766" s="82"/>
      <c r="B766" s="82"/>
      <c r="C766" s="82"/>
      <c r="D766" s="82"/>
      <c r="E766" s="82"/>
      <c r="F766" s="82"/>
      <c r="G766" s="82"/>
      <c r="H766" s="82"/>
      <c r="I766" s="82"/>
      <c r="J766" s="82"/>
      <c r="K766" s="82"/>
    </row>
    <row r="767" spans="1:11" ht="14.25" customHeight="1" x14ac:dyDescent="0.25">
      <c r="A767" s="82"/>
      <c r="B767" s="82"/>
      <c r="C767" s="82"/>
      <c r="D767" s="82"/>
      <c r="E767" s="82"/>
      <c r="F767" s="82"/>
      <c r="G767" s="82"/>
      <c r="H767" s="82"/>
      <c r="I767" s="82"/>
      <c r="J767" s="82"/>
      <c r="K767" s="82"/>
    </row>
    <row r="768" spans="1:11" ht="14.25" customHeight="1" x14ac:dyDescent="0.25">
      <c r="A768" s="82"/>
      <c r="B768" s="82"/>
      <c r="C768" s="82"/>
      <c r="D768" s="82"/>
      <c r="E768" s="82"/>
      <c r="F768" s="82"/>
      <c r="G768" s="82"/>
      <c r="H768" s="82"/>
      <c r="I768" s="82"/>
      <c r="J768" s="82"/>
      <c r="K768" s="82"/>
    </row>
    <row r="769" spans="1:11" ht="14.25" customHeight="1" x14ac:dyDescent="0.25">
      <c r="A769" s="82"/>
      <c r="B769" s="82"/>
      <c r="C769" s="82"/>
      <c r="D769" s="82"/>
      <c r="E769" s="82"/>
      <c r="F769" s="82"/>
      <c r="G769" s="82"/>
      <c r="H769" s="82"/>
      <c r="I769" s="82"/>
      <c r="J769" s="82"/>
      <c r="K769" s="82"/>
    </row>
    <row r="770" spans="1:11" ht="14.25" customHeight="1" x14ac:dyDescent="0.25">
      <c r="A770" s="82"/>
      <c r="B770" s="82"/>
      <c r="C770" s="82"/>
      <c r="D770" s="82"/>
      <c r="E770" s="82"/>
      <c r="F770" s="82"/>
      <c r="G770" s="82"/>
      <c r="H770" s="82"/>
      <c r="I770" s="82"/>
      <c r="J770" s="82"/>
      <c r="K770" s="82"/>
    </row>
    <row r="771" spans="1:11" ht="14.25" customHeight="1" x14ac:dyDescent="0.25">
      <c r="A771" s="82"/>
      <c r="B771" s="82"/>
      <c r="C771" s="82"/>
      <c r="D771" s="82"/>
      <c r="E771" s="82"/>
      <c r="F771" s="82"/>
      <c r="G771" s="82"/>
      <c r="H771" s="82"/>
      <c r="I771" s="82"/>
      <c r="J771" s="82"/>
      <c r="K771" s="82"/>
    </row>
    <row r="772" spans="1:11" ht="14.25" customHeight="1" x14ac:dyDescent="0.25">
      <c r="A772" s="82"/>
      <c r="B772" s="82"/>
      <c r="C772" s="82"/>
      <c r="D772" s="82"/>
      <c r="E772" s="82"/>
      <c r="F772" s="82"/>
      <c r="G772" s="82"/>
      <c r="H772" s="82"/>
      <c r="I772" s="82"/>
      <c r="J772" s="82"/>
      <c r="K772" s="82"/>
    </row>
    <row r="773" spans="1:11" ht="14.25" customHeight="1" x14ac:dyDescent="0.25">
      <c r="A773" s="82"/>
      <c r="B773" s="82"/>
      <c r="C773" s="82"/>
      <c r="D773" s="82"/>
      <c r="E773" s="82"/>
      <c r="F773" s="82"/>
      <c r="G773" s="82"/>
      <c r="H773" s="82"/>
      <c r="I773" s="82"/>
      <c r="J773" s="82"/>
      <c r="K773" s="82"/>
    </row>
    <row r="774" spans="1:11" ht="14.25" customHeight="1" x14ac:dyDescent="0.25">
      <c r="A774" s="82"/>
      <c r="B774" s="82"/>
      <c r="C774" s="82"/>
      <c r="D774" s="82"/>
      <c r="E774" s="82"/>
      <c r="F774" s="82"/>
      <c r="G774" s="82"/>
      <c r="H774" s="82"/>
      <c r="I774" s="82"/>
      <c r="J774" s="82"/>
      <c r="K774" s="82"/>
    </row>
    <row r="775" spans="1:11" ht="14.25" customHeight="1" x14ac:dyDescent="0.25">
      <c r="A775" s="82"/>
      <c r="B775" s="82"/>
      <c r="C775" s="82"/>
      <c r="D775" s="82"/>
      <c r="E775" s="82"/>
      <c r="F775" s="82"/>
      <c r="G775" s="82"/>
      <c r="H775" s="82"/>
      <c r="I775" s="82"/>
      <c r="J775" s="82"/>
      <c r="K775" s="82"/>
    </row>
    <row r="776" spans="1:11" ht="14.25" customHeight="1" x14ac:dyDescent="0.25">
      <c r="A776" s="82"/>
      <c r="B776" s="82"/>
      <c r="C776" s="82"/>
      <c r="D776" s="82"/>
      <c r="E776" s="82"/>
      <c r="F776" s="82"/>
      <c r="G776" s="82"/>
      <c r="H776" s="82"/>
      <c r="I776" s="82"/>
      <c r="J776" s="82"/>
      <c r="K776" s="82"/>
    </row>
    <row r="777" spans="1:11" ht="14.25" customHeight="1" x14ac:dyDescent="0.25">
      <c r="A777" s="82"/>
      <c r="B777" s="82"/>
      <c r="C777" s="82"/>
      <c r="D777" s="82"/>
      <c r="E777" s="82"/>
      <c r="F777" s="82"/>
      <c r="G777" s="82"/>
      <c r="H777" s="82"/>
      <c r="I777" s="82"/>
      <c r="J777" s="82"/>
      <c r="K777" s="82"/>
    </row>
    <row r="778" spans="1:11" ht="14.25" customHeight="1" x14ac:dyDescent="0.25">
      <c r="A778" s="82"/>
      <c r="B778" s="82"/>
      <c r="C778" s="82"/>
      <c r="D778" s="82"/>
      <c r="E778" s="82"/>
      <c r="F778" s="82"/>
      <c r="G778" s="82"/>
      <c r="H778" s="82"/>
      <c r="I778" s="82"/>
      <c r="J778" s="82"/>
      <c r="K778" s="82"/>
    </row>
    <row r="779" spans="1:11" ht="14.25" customHeight="1" x14ac:dyDescent="0.25">
      <c r="A779" s="82"/>
      <c r="B779" s="82"/>
      <c r="C779" s="82"/>
      <c r="D779" s="82"/>
      <c r="E779" s="82"/>
      <c r="F779" s="82"/>
      <c r="G779" s="82"/>
      <c r="H779" s="82"/>
      <c r="I779" s="82"/>
      <c r="J779" s="82"/>
      <c r="K779" s="82"/>
    </row>
    <row r="780" spans="1:11" ht="14.25" customHeight="1" x14ac:dyDescent="0.25">
      <c r="A780" s="82"/>
      <c r="B780" s="82"/>
      <c r="C780" s="82"/>
      <c r="D780" s="82"/>
      <c r="E780" s="82"/>
      <c r="F780" s="82"/>
      <c r="G780" s="82"/>
      <c r="H780" s="82"/>
      <c r="I780" s="82"/>
      <c r="J780" s="82"/>
      <c r="K780" s="82"/>
    </row>
    <row r="781" spans="1:11" ht="14.25" customHeight="1" x14ac:dyDescent="0.25">
      <c r="A781" s="82"/>
      <c r="B781" s="82"/>
      <c r="C781" s="82"/>
      <c r="D781" s="82"/>
      <c r="E781" s="82"/>
      <c r="F781" s="82"/>
      <c r="G781" s="82"/>
      <c r="H781" s="82"/>
      <c r="I781" s="82"/>
      <c r="J781" s="82"/>
      <c r="K781" s="82"/>
    </row>
    <row r="782" spans="1:11" ht="14.25" customHeight="1" x14ac:dyDescent="0.25">
      <c r="A782" s="82"/>
      <c r="B782" s="82"/>
      <c r="C782" s="82"/>
      <c r="D782" s="82"/>
      <c r="E782" s="82"/>
      <c r="F782" s="82"/>
      <c r="G782" s="82"/>
      <c r="H782" s="82"/>
      <c r="I782" s="82"/>
      <c r="J782" s="82"/>
      <c r="K782" s="82"/>
    </row>
    <row r="783" spans="1:11" ht="14.25" customHeight="1" x14ac:dyDescent="0.25">
      <c r="A783" s="82"/>
      <c r="B783" s="82"/>
      <c r="C783" s="82"/>
      <c r="D783" s="82"/>
      <c r="E783" s="82"/>
      <c r="F783" s="82"/>
      <c r="G783" s="82"/>
      <c r="H783" s="82"/>
      <c r="I783" s="82"/>
      <c r="J783" s="82"/>
      <c r="K783" s="82"/>
    </row>
    <row r="784" spans="1:11" ht="14.25" customHeight="1" x14ac:dyDescent="0.25">
      <c r="A784" s="82"/>
      <c r="B784" s="82"/>
      <c r="C784" s="82"/>
      <c r="D784" s="82"/>
      <c r="E784" s="82"/>
      <c r="F784" s="82"/>
      <c r="G784" s="82"/>
      <c r="H784" s="82"/>
      <c r="I784" s="82"/>
      <c r="J784" s="82"/>
      <c r="K784" s="82"/>
    </row>
    <row r="785" spans="1:11" ht="14.25" customHeight="1" x14ac:dyDescent="0.25">
      <c r="A785" s="82"/>
      <c r="B785" s="82"/>
      <c r="C785" s="82"/>
      <c r="D785" s="82"/>
      <c r="E785" s="82"/>
      <c r="F785" s="82"/>
      <c r="G785" s="82"/>
      <c r="H785" s="82"/>
      <c r="I785" s="82"/>
      <c r="J785" s="82"/>
      <c r="K785" s="82"/>
    </row>
    <row r="786" spans="1:11" ht="14.25" customHeight="1" x14ac:dyDescent="0.25">
      <c r="A786" s="82"/>
      <c r="B786" s="82"/>
      <c r="C786" s="82"/>
      <c r="D786" s="82"/>
      <c r="E786" s="82"/>
      <c r="F786" s="82"/>
      <c r="G786" s="82"/>
      <c r="H786" s="82"/>
      <c r="I786" s="82"/>
      <c r="J786" s="82"/>
      <c r="K786" s="82"/>
    </row>
    <row r="787" spans="1:11" ht="14.25" customHeight="1" x14ac:dyDescent="0.25">
      <c r="A787" s="82"/>
      <c r="B787" s="82"/>
      <c r="C787" s="82"/>
      <c r="D787" s="82"/>
      <c r="E787" s="82"/>
      <c r="F787" s="82"/>
      <c r="G787" s="82"/>
      <c r="H787" s="82"/>
      <c r="I787" s="82"/>
      <c r="J787" s="82"/>
      <c r="K787" s="82"/>
    </row>
    <row r="788" spans="1:11" ht="14.25" customHeight="1" x14ac:dyDescent="0.25">
      <c r="A788" s="82"/>
      <c r="B788" s="82"/>
      <c r="C788" s="82"/>
      <c r="D788" s="82"/>
      <c r="E788" s="82"/>
      <c r="F788" s="82"/>
      <c r="G788" s="82"/>
      <c r="H788" s="82"/>
      <c r="I788" s="82"/>
      <c r="J788" s="82"/>
      <c r="K788" s="82"/>
    </row>
    <row r="789" spans="1:11" ht="14.25" customHeight="1" x14ac:dyDescent="0.25">
      <c r="A789" s="82"/>
      <c r="B789" s="82"/>
      <c r="C789" s="82"/>
      <c r="D789" s="82"/>
      <c r="E789" s="82"/>
      <c r="F789" s="82"/>
      <c r="G789" s="82"/>
      <c r="H789" s="82"/>
      <c r="I789" s="82"/>
      <c r="J789" s="82"/>
      <c r="K789" s="82"/>
    </row>
    <row r="790" spans="1:11" ht="14.25" customHeight="1" x14ac:dyDescent="0.25">
      <c r="A790" s="82"/>
      <c r="B790" s="82"/>
      <c r="C790" s="82"/>
      <c r="D790" s="82"/>
      <c r="E790" s="82"/>
      <c r="F790" s="82"/>
      <c r="G790" s="82"/>
      <c r="H790" s="82"/>
      <c r="I790" s="82"/>
      <c r="J790" s="82"/>
      <c r="K790" s="82"/>
    </row>
    <row r="791" spans="1:11" ht="14.25" customHeight="1" x14ac:dyDescent="0.25">
      <c r="A791" s="82"/>
      <c r="B791" s="82"/>
      <c r="C791" s="82"/>
      <c r="D791" s="82"/>
      <c r="E791" s="82"/>
      <c r="F791" s="82"/>
      <c r="G791" s="82"/>
      <c r="H791" s="82"/>
      <c r="I791" s="82"/>
      <c r="J791" s="82"/>
      <c r="K791" s="82"/>
    </row>
    <row r="792" spans="1:11" ht="14.25" customHeight="1" x14ac:dyDescent="0.25">
      <c r="A792" s="82"/>
      <c r="B792" s="82"/>
      <c r="C792" s="82"/>
      <c r="D792" s="82"/>
      <c r="E792" s="82"/>
      <c r="F792" s="82"/>
      <c r="G792" s="82"/>
      <c r="H792" s="82"/>
      <c r="I792" s="82"/>
      <c r="J792" s="82"/>
      <c r="K792" s="82"/>
    </row>
    <row r="793" spans="1:11" ht="14.25" customHeight="1" x14ac:dyDescent="0.25">
      <c r="A793" s="82"/>
      <c r="B793" s="82"/>
      <c r="C793" s="82"/>
      <c r="D793" s="82"/>
      <c r="E793" s="82"/>
      <c r="F793" s="82"/>
      <c r="G793" s="82"/>
      <c r="H793" s="82"/>
      <c r="I793" s="82"/>
      <c r="J793" s="82"/>
      <c r="K793" s="82"/>
    </row>
    <row r="794" spans="1:11" ht="14.25" customHeight="1" x14ac:dyDescent="0.25">
      <c r="A794" s="82"/>
      <c r="B794" s="82"/>
      <c r="C794" s="82"/>
      <c r="D794" s="82"/>
      <c r="E794" s="82"/>
      <c r="F794" s="82"/>
      <c r="G794" s="82"/>
      <c r="H794" s="82"/>
      <c r="I794" s="82"/>
      <c r="J794" s="82"/>
      <c r="K794" s="82"/>
    </row>
    <row r="795" spans="1:11" ht="14.25" customHeight="1" x14ac:dyDescent="0.25">
      <c r="A795" s="82"/>
      <c r="B795" s="82"/>
      <c r="C795" s="82"/>
      <c r="D795" s="82"/>
      <c r="E795" s="82"/>
      <c r="F795" s="82"/>
      <c r="G795" s="82"/>
      <c r="H795" s="82"/>
      <c r="I795" s="82"/>
      <c r="J795" s="82"/>
      <c r="K795" s="82"/>
    </row>
    <row r="796" spans="1:11" ht="14.25" customHeight="1" x14ac:dyDescent="0.25">
      <c r="A796" s="82"/>
      <c r="B796" s="82"/>
      <c r="C796" s="82"/>
      <c r="D796" s="82"/>
      <c r="E796" s="82"/>
      <c r="F796" s="82"/>
      <c r="G796" s="82"/>
      <c r="H796" s="82"/>
      <c r="I796" s="82"/>
      <c r="J796" s="82"/>
      <c r="K796" s="82"/>
    </row>
    <row r="797" spans="1:11" ht="14.25" customHeight="1" x14ac:dyDescent="0.25">
      <c r="A797" s="82"/>
      <c r="B797" s="82"/>
      <c r="C797" s="82"/>
      <c r="D797" s="82"/>
      <c r="E797" s="82"/>
      <c r="F797" s="82"/>
      <c r="G797" s="82"/>
      <c r="H797" s="82"/>
      <c r="I797" s="82"/>
      <c r="J797" s="82"/>
      <c r="K797" s="82"/>
    </row>
    <row r="798" spans="1:11" ht="14.25" customHeight="1" x14ac:dyDescent="0.25">
      <c r="A798" s="82"/>
      <c r="B798" s="82"/>
      <c r="C798" s="82"/>
      <c r="D798" s="82"/>
      <c r="E798" s="82"/>
      <c r="F798" s="82"/>
      <c r="G798" s="82"/>
      <c r="H798" s="82"/>
      <c r="I798" s="82"/>
      <c r="J798" s="82"/>
      <c r="K798" s="82"/>
    </row>
    <row r="799" spans="1:11" ht="14.25" customHeight="1" x14ac:dyDescent="0.25">
      <c r="A799" s="82"/>
      <c r="B799" s="82"/>
      <c r="C799" s="82"/>
      <c r="D799" s="82"/>
      <c r="E799" s="82"/>
      <c r="F799" s="82"/>
      <c r="G799" s="82"/>
      <c r="H799" s="82"/>
      <c r="I799" s="82"/>
      <c r="J799" s="82"/>
      <c r="K799" s="82"/>
    </row>
    <row r="800" spans="1:11" ht="14.25" customHeight="1" x14ac:dyDescent="0.25">
      <c r="A800" s="82"/>
      <c r="B800" s="82"/>
      <c r="C800" s="82"/>
      <c r="D800" s="82"/>
      <c r="E800" s="82"/>
      <c r="F800" s="82"/>
      <c r="G800" s="82"/>
      <c r="H800" s="82"/>
      <c r="I800" s="82"/>
      <c r="J800" s="82"/>
      <c r="K800" s="82"/>
    </row>
    <row r="801" spans="1:11" ht="14.25" customHeight="1" x14ac:dyDescent="0.25">
      <c r="A801" s="82"/>
      <c r="B801" s="82"/>
      <c r="C801" s="82"/>
      <c r="D801" s="82"/>
      <c r="E801" s="82"/>
      <c r="F801" s="82"/>
      <c r="G801" s="82"/>
      <c r="H801" s="82"/>
      <c r="I801" s="82"/>
      <c r="J801" s="82"/>
      <c r="K801" s="82"/>
    </row>
    <row r="802" spans="1:11" ht="14.25" customHeight="1" x14ac:dyDescent="0.25">
      <c r="A802" s="82"/>
      <c r="B802" s="82"/>
      <c r="C802" s="82"/>
      <c r="D802" s="82"/>
      <c r="E802" s="82"/>
      <c r="F802" s="82"/>
      <c r="G802" s="82"/>
      <c r="H802" s="82"/>
      <c r="I802" s="82"/>
      <c r="J802" s="82"/>
      <c r="K802" s="82"/>
    </row>
    <row r="803" spans="1:11" ht="14.25" customHeight="1" x14ac:dyDescent="0.25">
      <c r="A803" s="82"/>
      <c r="B803" s="82"/>
      <c r="C803" s="82"/>
      <c r="D803" s="82"/>
      <c r="E803" s="82"/>
      <c r="F803" s="82"/>
      <c r="G803" s="82"/>
      <c r="H803" s="82"/>
      <c r="I803" s="82"/>
      <c r="J803" s="82"/>
      <c r="K803" s="82"/>
    </row>
    <row r="804" spans="1:11" ht="14.25" customHeight="1" x14ac:dyDescent="0.25">
      <c r="A804" s="82"/>
      <c r="B804" s="82"/>
      <c r="C804" s="82"/>
      <c r="D804" s="82"/>
      <c r="E804" s="82"/>
      <c r="F804" s="82"/>
      <c r="G804" s="82"/>
      <c r="H804" s="82"/>
      <c r="I804" s="82"/>
      <c r="J804" s="82"/>
      <c r="K804" s="82"/>
    </row>
    <row r="805" spans="1:11" ht="14.25" customHeight="1" x14ac:dyDescent="0.25">
      <c r="A805" s="82"/>
      <c r="B805" s="82"/>
      <c r="C805" s="82"/>
      <c r="D805" s="82"/>
      <c r="E805" s="82"/>
      <c r="F805" s="82"/>
      <c r="G805" s="82"/>
      <c r="H805" s="82"/>
      <c r="I805" s="82"/>
      <c r="J805" s="82"/>
      <c r="K805" s="82"/>
    </row>
    <row r="806" spans="1:11" ht="14.25" customHeight="1" x14ac:dyDescent="0.25">
      <c r="A806" s="82"/>
      <c r="B806" s="82"/>
      <c r="C806" s="82"/>
      <c r="D806" s="82"/>
      <c r="E806" s="82"/>
      <c r="F806" s="82"/>
      <c r="G806" s="82"/>
      <c r="H806" s="82"/>
      <c r="I806" s="82"/>
      <c r="J806" s="82"/>
      <c r="K806" s="82"/>
    </row>
    <row r="807" spans="1:11" ht="14.25" customHeight="1" x14ac:dyDescent="0.25">
      <c r="A807" s="82"/>
      <c r="B807" s="82"/>
      <c r="C807" s="82"/>
      <c r="D807" s="82"/>
      <c r="E807" s="82"/>
      <c r="F807" s="82"/>
      <c r="G807" s="82"/>
      <c r="H807" s="82"/>
      <c r="I807" s="82"/>
      <c r="J807" s="82"/>
      <c r="K807" s="82"/>
    </row>
    <row r="808" spans="1:11" ht="14.25" customHeight="1" x14ac:dyDescent="0.25">
      <c r="A808" s="82"/>
      <c r="B808" s="82"/>
      <c r="C808" s="82"/>
      <c r="D808" s="82"/>
      <c r="E808" s="82"/>
      <c r="F808" s="82"/>
      <c r="G808" s="82"/>
      <c r="H808" s="82"/>
      <c r="I808" s="82"/>
      <c r="J808" s="82"/>
      <c r="K808" s="82"/>
    </row>
    <row r="809" spans="1:11" ht="14.25" customHeight="1" x14ac:dyDescent="0.25">
      <c r="A809" s="82"/>
      <c r="B809" s="82"/>
      <c r="C809" s="82"/>
      <c r="D809" s="82"/>
      <c r="E809" s="82"/>
      <c r="F809" s="82"/>
      <c r="G809" s="82"/>
      <c r="H809" s="82"/>
      <c r="I809" s="82"/>
      <c r="J809" s="82"/>
      <c r="K809" s="82"/>
    </row>
    <row r="810" spans="1:11" ht="14.25" customHeight="1" x14ac:dyDescent="0.25">
      <c r="A810" s="82"/>
      <c r="B810" s="82"/>
      <c r="C810" s="82"/>
      <c r="D810" s="82"/>
      <c r="E810" s="82"/>
      <c r="F810" s="82"/>
      <c r="G810" s="82"/>
      <c r="H810" s="82"/>
      <c r="I810" s="82"/>
      <c r="J810" s="82"/>
      <c r="K810" s="82"/>
    </row>
    <row r="811" spans="1:11" ht="14.25" customHeight="1" x14ac:dyDescent="0.25">
      <c r="A811" s="82"/>
      <c r="B811" s="82"/>
      <c r="C811" s="82"/>
      <c r="D811" s="82"/>
      <c r="E811" s="82"/>
      <c r="F811" s="82"/>
      <c r="G811" s="82"/>
      <c r="H811" s="82"/>
      <c r="I811" s="82"/>
      <c r="J811" s="82"/>
      <c r="K811" s="82"/>
    </row>
    <row r="812" spans="1:11" ht="14.25" customHeight="1" x14ac:dyDescent="0.25">
      <c r="A812" s="82"/>
      <c r="B812" s="82"/>
      <c r="C812" s="82"/>
      <c r="D812" s="82"/>
      <c r="E812" s="82"/>
      <c r="F812" s="82"/>
      <c r="G812" s="82"/>
      <c r="H812" s="82"/>
      <c r="I812" s="82"/>
      <c r="J812" s="82"/>
      <c r="K812" s="82"/>
    </row>
    <row r="813" spans="1:11" ht="14.25" customHeight="1" x14ac:dyDescent="0.25">
      <c r="A813" s="82"/>
      <c r="B813" s="82"/>
      <c r="C813" s="82"/>
      <c r="D813" s="82"/>
      <c r="E813" s="82"/>
      <c r="F813" s="82"/>
      <c r="G813" s="82"/>
      <c r="H813" s="82"/>
      <c r="I813" s="82"/>
      <c r="J813" s="82"/>
      <c r="K813" s="82"/>
    </row>
    <row r="814" spans="1:11" ht="14.25" customHeight="1" x14ac:dyDescent="0.25">
      <c r="A814" s="82"/>
      <c r="B814" s="82"/>
      <c r="C814" s="82"/>
      <c r="D814" s="82"/>
      <c r="E814" s="82"/>
      <c r="F814" s="82"/>
      <c r="G814" s="82"/>
      <c r="H814" s="82"/>
      <c r="I814" s="82"/>
      <c r="J814" s="82"/>
      <c r="K814" s="82"/>
    </row>
    <row r="815" spans="1:11" ht="14.25" customHeight="1" x14ac:dyDescent="0.25">
      <c r="A815" s="82"/>
      <c r="B815" s="82"/>
      <c r="C815" s="82"/>
      <c r="D815" s="82"/>
      <c r="E815" s="82"/>
      <c r="F815" s="82"/>
      <c r="G815" s="82"/>
      <c r="H815" s="82"/>
      <c r="I815" s="82"/>
      <c r="J815" s="82"/>
      <c r="K815" s="82"/>
    </row>
    <row r="816" spans="1:11" ht="14.25" customHeight="1" x14ac:dyDescent="0.25">
      <c r="A816" s="82"/>
      <c r="B816" s="82"/>
      <c r="C816" s="82"/>
      <c r="D816" s="82"/>
      <c r="E816" s="82"/>
      <c r="F816" s="82"/>
      <c r="G816" s="82"/>
      <c r="H816" s="82"/>
      <c r="I816" s="82"/>
      <c r="J816" s="82"/>
      <c r="K816" s="82"/>
    </row>
    <row r="817" spans="1:11" ht="14.25" customHeight="1" x14ac:dyDescent="0.25">
      <c r="A817" s="82"/>
      <c r="B817" s="82"/>
      <c r="C817" s="82"/>
      <c r="D817" s="82"/>
      <c r="E817" s="82"/>
      <c r="F817" s="82"/>
      <c r="G817" s="82"/>
      <c r="H817" s="82"/>
      <c r="I817" s="82"/>
      <c r="J817" s="82"/>
      <c r="K817" s="82"/>
    </row>
    <row r="818" spans="1:11" ht="14.25" customHeight="1" x14ac:dyDescent="0.25">
      <c r="A818" s="82"/>
      <c r="B818" s="82"/>
      <c r="C818" s="82"/>
      <c r="D818" s="82"/>
      <c r="E818" s="82"/>
      <c r="F818" s="82"/>
      <c r="G818" s="82"/>
      <c r="H818" s="82"/>
      <c r="I818" s="82"/>
      <c r="J818" s="82"/>
      <c r="K818" s="82"/>
    </row>
    <row r="819" spans="1:11" ht="14.25" customHeight="1" x14ac:dyDescent="0.25">
      <c r="A819" s="82"/>
      <c r="B819" s="82"/>
      <c r="C819" s="82"/>
      <c r="D819" s="82"/>
      <c r="E819" s="82"/>
      <c r="F819" s="82"/>
      <c r="G819" s="82"/>
      <c r="H819" s="82"/>
      <c r="I819" s="82"/>
      <c r="J819" s="82"/>
      <c r="K819" s="82"/>
    </row>
  </sheetData>
  <sheetProtection sheet="1" objects="1" scenarios="1" selectLockedCells="1"/>
  <mergeCells count="17">
    <mergeCell ref="B1:K1"/>
    <mergeCell ref="B2:K2"/>
    <mergeCell ref="B3:K3"/>
    <mergeCell ref="A5:C5"/>
    <mergeCell ref="A7:B7"/>
    <mergeCell ref="A4:K4"/>
    <mergeCell ref="F5:K5"/>
    <mergeCell ref="F7:H7"/>
    <mergeCell ref="I7:K7"/>
    <mergeCell ref="A11:I11"/>
    <mergeCell ref="A9:C9"/>
    <mergeCell ref="F20:K20"/>
    <mergeCell ref="A19:C19"/>
    <mergeCell ref="A21:C21"/>
    <mergeCell ref="C13:K13"/>
    <mergeCell ref="C16:K16"/>
    <mergeCell ref="F9:K9"/>
  </mergeCells>
  <pageMargins left="0.7" right="0.7" top="0.75" bottom="0.75" header="0" footer="0"/>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20"/>
  <sheetViews>
    <sheetView topLeftCell="A19" workbookViewId="0">
      <selection activeCell="J35" sqref="J35"/>
    </sheetView>
  </sheetViews>
  <sheetFormatPr defaultColWidth="8.75" defaultRowHeight="13.5" x14ac:dyDescent="0.3"/>
  <cols>
    <col min="1" max="1" width="10.25" style="63" customWidth="1"/>
    <col min="2" max="2" width="6.25" style="63" customWidth="1"/>
    <col min="3" max="4" width="12.75" style="63" customWidth="1"/>
    <col min="5" max="5" width="12.58203125" style="63" customWidth="1"/>
    <col min="6" max="6" width="13.33203125" style="63" customWidth="1"/>
    <col min="7" max="7" width="12" style="63" customWidth="1"/>
    <col min="8" max="8" width="12.25" style="63" customWidth="1"/>
    <col min="9" max="16384" width="8.75" style="63"/>
  </cols>
  <sheetData>
    <row r="1" spans="1:9" ht="14" x14ac:dyDescent="0.3">
      <c r="A1" s="58"/>
      <c r="B1" s="197" t="s">
        <v>179</v>
      </c>
      <c r="C1" s="197"/>
      <c r="D1" s="197"/>
      <c r="E1" s="197"/>
      <c r="F1" s="197"/>
      <c r="G1" s="197"/>
      <c r="H1" s="197"/>
    </row>
    <row r="2" spans="1:9" ht="14" x14ac:dyDescent="0.3">
      <c r="A2" s="58"/>
      <c r="B2" s="197" t="s">
        <v>171</v>
      </c>
      <c r="C2" s="197"/>
      <c r="D2" s="197"/>
      <c r="E2" s="197"/>
      <c r="F2" s="197"/>
      <c r="G2" s="197"/>
      <c r="H2" s="197"/>
    </row>
    <row r="3" spans="1:9" ht="14" x14ac:dyDescent="0.3">
      <c r="A3" s="58"/>
      <c r="B3" s="197"/>
      <c r="C3" s="197"/>
      <c r="D3" s="197"/>
      <c r="E3" s="197"/>
      <c r="F3" s="197"/>
      <c r="G3" s="197"/>
      <c r="H3" s="197"/>
      <c r="I3" s="90"/>
    </row>
    <row r="4" spans="1:9" x14ac:dyDescent="0.3">
      <c r="A4" s="316" t="s">
        <v>136</v>
      </c>
      <c r="B4" s="316"/>
      <c r="C4" s="316"/>
      <c r="D4" s="316"/>
      <c r="E4" s="316"/>
      <c r="F4" s="316"/>
      <c r="G4" s="316"/>
      <c r="H4" s="316"/>
    </row>
    <row r="6" spans="1:9" x14ac:dyDescent="0.3">
      <c r="A6" s="98"/>
      <c r="B6" s="98"/>
      <c r="C6" s="99" t="s">
        <v>23</v>
      </c>
      <c r="D6" s="99" t="s">
        <v>24</v>
      </c>
      <c r="E6" s="99" t="s">
        <v>25</v>
      </c>
      <c r="F6" s="99" t="s">
        <v>26</v>
      </c>
      <c r="G6" s="99" t="s">
        <v>27</v>
      </c>
      <c r="H6" s="99" t="s">
        <v>28</v>
      </c>
    </row>
    <row r="7" spans="1:9" x14ac:dyDescent="0.3">
      <c r="A7" s="315" t="s">
        <v>87</v>
      </c>
      <c r="B7" s="100">
        <v>1</v>
      </c>
      <c r="C7" s="101">
        <f t="shared" ref="C7:H7" si="0">COUNTIF(C20:C320,"Slight")</f>
        <v>0</v>
      </c>
      <c r="D7" s="101">
        <f t="shared" si="0"/>
        <v>6</v>
      </c>
      <c r="E7" s="101">
        <f t="shared" si="0"/>
        <v>6</v>
      </c>
      <c r="F7" s="101">
        <f t="shared" si="0"/>
        <v>11</v>
      </c>
      <c r="G7" s="101">
        <f t="shared" si="0"/>
        <v>0</v>
      </c>
      <c r="H7" s="101">
        <f t="shared" si="0"/>
        <v>0</v>
      </c>
    </row>
    <row r="8" spans="1:9" x14ac:dyDescent="0.3">
      <c r="A8" s="315"/>
      <c r="B8" s="100">
        <v>2</v>
      </c>
      <c r="C8" s="101">
        <f t="shared" ref="C8:H8" si="1">COUNTIF(C20:C320,"Moderate")</f>
        <v>9</v>
      </c>
      <c r="D8" s="101">
        <f t="shared" si="1"/>
        <v>7</v>
      </c>
      <c r="E8" s="101">
        <f t="shared" si="1"/>
        <v>5</v>
      </c>
      <c r="F8" s="101">
        <f t="shared" si="1"/>
        <v>0</v>
      </c>
      <c r="G8" s="101">
        <f t="shared" si="1"/>
        <v>8</v>
      </c>
      <c r="H8" s="101">
        <f t="shared" si="1"/>
        <v>7</v>
      </c>
    </row>
    <row r="9" spans="1:9" x14ac:dyDescent="0.3">
      <c r="A9" s="315"/>
      <c r="B9" s="100">
        <v>3</v>
      </c>
      <c r="C9" s="101">
        <f>COUNTIF(C20:C320,"Substantial")</f>
        <v>15</v>
      </c>
      <c r="D9" s="101">
        <f t="shared" ref="D9:H9" si="2">COUNTIF(D20:D320,"Substantial")</f>
        <v>11</v>
      </c>
      <c r="E9" s="101">
        <f>COUNTIF(E20:E320,"Substantial")</f>
        <v>13</v>
      </c>
      <c r="F9" s="101">
        <f t="shared" si="2"/>
        <v>13</v>
      </c>
      <c r="G9" s="101">
        <f t="shared" si="2"/>
        <v>16</v>
      </c>
      <c r="H9" s="101">
        <f t="shared" si="2"/>
        <v>17</v>
      </c>
    </row>
    <row r="10" spans="1:9" x14ac:dyDescent="0.3">
      <c r="A10" s="98"/>
      <c r="B10" s="98"/>
      <c r="C10" s="102"/>
      <c r="D10" s="102"/>
      <c r="E10" s="102"/>
      <c r="F10" s="102"/>
      <c r="G10" s="102"/>
      <c r="H10" s="102"/>
    </row>
    <row r="11" spans="1:9" x14ac:dyDescent="0.3">
      <c r="A11" s="315" t="s">
        <v>150</v>
      </c>
      <c r="B11" s="100">
        <v>1</v>
      </c>
      <c r="C11" s="103">
        <f t="shared" ref="C11:H11" si="3">C7*100/$B$19</f>
        <v>0</v>
      </c>
      <c r="D11" s="103">
        <f t="shared" si="3"/>
        <v>25</v>
      </c>
      <c r="E11" s="103">
        <f t="shared" si="3"/>
        <v>25</v>
      </c>
      <c r="F11" s="103">
        <f t="shared" si="3"/>
        <v>45.833333333333336</v>
      </c>
      <c r="G11" s="103">
        <f t="shared" si="3"/>
        <v>0</v>
      </c>
      <c r="H11" s="103">
        <f t="shared" si="3"/>
        <v>0</v>
      </c>
    </row>
    <row r="12" spans="1:9" x14ac:dyDescent="0.3">
      <c r="A12" s="315"/>
      <c r="B12" s="100">
        <v>2</v>
      </c>
      <c r="C12" s="103">
        <f t="shared" ref="C12:H13" si="4">C8*100/$B$19</f>
        <v>37.5</v>
      </c>
      <c r="D12" s="103">
        <f t="shared" si="4"/>
        <v>29.166666666666668</v>
      </c>
      <c r="E12" s="103">
        <f t="shared" si="4"/>
        <v>20.833333333333332</v>
      </c>
      <c r="F12" s="103">
        <f t="shared" si="4"/>
        <v>0</v>
      </c>
      <c r="G12" s="103">
        <f t="shared" si="4"/>
        <v>33.333333333333336</v>
      </c>
      <c r="H12" s="103">
        <f t="shared" si="4"/>
        <v>29.166666666666668</v>
      </c>
    </row>
    <row r="13" spans="1:9" x14ac:dyDescent="0.3">
      <c r="A13" s="315"/>
      <c r="B13" s="100">
        <v>3</v>
      </c>
      <c r="C13" s="103">
        <f t="shared" si="4"/>
        <v>62.5</v>
      </c>
      <c r="D13" s="103">
        <f t="shared" si="4"/>
        <v>45.833333333333336</v>
      </c>
      <c r="E13" s="103">
        <f t="shared" si="4"/>
        <v>54.166666666666664</v>
      </c>
      <c r="F13" s="103">
        <f t="shared" si="4"/>
        <v>54.166666666666664</v>
      </c>
      <c r="G13" s="103">
        <f t="shared" si="4"/>
        <v>66.666666666666671</v>
      </c>
      <c r="H13" s="103">
        <f t="shared" si="4"/>
        <v>70.833333333333329</v>
      </c>
    </row>
    <row r="14" spans="1:9" x14ac:dyDescent="0.3">
      <c r="A14" s="98"/>
      <c r="B14" s="98"/>
      <c r="C14" s="98"/>
      <c r="D14" s="98"/>
      <c r="E14" s="98"/>
      <c r="F14" s="98"/>
      <c r="G14" s="98"/>
      <c r="H14" s="98"/>
    </row>
    <row r="15" spans="1:9" ht="23.5" customHeight="1" x14ac:dyDescent="0.3">
      <c r="A15" s="314" t="s">
        <v>151</v>
      </c>
      <c r="B15" s="314"/>
      <c r="C15" s="104">
        <f t="shared" ref="C15:H15" si="5">(C11*0.33+C12*0.67+C13*1)</f>
        <v>87.625</v>
      </c>
      <c r="D15" s="104">
        <f t="shared" si="5"/>
        <v>73.625</v>
      </c>
      <c r="E15" s="104">
        <f t="shared" si="5"/>
        <v>76.375</v>
      </c>
      <c r="F15" s="104">
        <f t="shared" si="5"/>
        <v>69.291666666666671</v>
      </c>
      <c r="G15" s="104">
        <f t="shared" si="5"/>
        <v>89</v>
      </c>
      <c r="H15" s="104">
        <f t="shared" si="5"/>
        <v>90.375</v>
      </c>
    </row>
    <row r="18" spans="1:8" ht="21" customHeight="1" x14ac:dyDescent="0.3">
      <c r="A18" s="71" t="s">
        <v>4</v>
      </c>
      <c r="B18" s="91"/>
      <c r="C18" s="92" t="s">
        <v>23</v>
      </c>
      <c r="D18" s="92" t="s">
        <v>24</v>
      </c>
      <c r="E18" s="92" t="s">
        <v>25</v>
      </c>
      <c r="F18" s="92" t="s">
        <v>26</v>
      </c>
      <c r="G18" s="92" t="s">
        <v>27</v>
      </c>
      <c r="H18" s="92" t="s">
        <v>28</v>
      </c>
    </row>
    <row r="19" spans="1:8" ht="52.9" customHeight="1" thickBot="1" x14ac:dyDescent="0.35">
      <c r="A19" s="93" t="s">
        <v>175</v>
      </c>
      <c r="B19" s="105">
        <f>COUNTIF(A20:A320,"&gt;0")</f>
        <v>24</v>
      </c>
      <c r="C19" s="94"/>
      <c r="D19" s="94"/>
      <c r="E19" s="94"/>
      <c r="F19" s="94"/>
      <c r="G19" s="94"/>
      <c r="H19" s="94"/>
    </row>
    <row r="20" spans="1:8" ht="14" thickTop="1" x14ac:dyDescent="0.3">
      <c r="A20" s="57">
        <f>IF(C20&lt;&gt;"", COUNTA($C$20:C20), "")</f>
        <v>1</v>
      </c>
      <c r="B20" s="95"/>
      <c r="C20" s="186" t="s">
        <v>177</v>
      </c>
      <c r="D20" s="186" t="s">
        <v>177</v>
      </c>
      <c r="E20" s="186" t="s">
        <v>177</v>
      </c>
      <c r="F20" s="186" t="s">
        <v>178</v>
      </c>
      <c r="G20" s="186" t="s">
        <v>177</v>
      </c>
      <c r="H20" s="186" t="s">
        <v>293</v>
      </c>
    </row>
    <row r="21" spans="1:8" x14ac:dyDescent="0.3">
      <c r="A21" s="57">
        <f>IF(C21&lt;&gt;"", COUNTA($C$20:C21), "")</f>
        <v>2</v>
      </c>
      <c r="B21" s="95"/>
      <c r="C21" s="186" t="s">
        <v>293</v>
      </c>
      <c r="D21" s="186" t="s">
        <v>293</v>
      </c>
      <c r="E21" s="186" t="s">
        <v>293</v>
      </c>
      <c r="F21" s="186" t="s">
        <v>293</v>
      </c>
      <c r="G21" s="186" t="s">
        <v>293</v>
      </c>
      <c r="H21" s="186" t="s">
        <v>293</v>
      </c>
    </row>
    <row r="22" spans="1:8" x14ac:dyDescent="0.3">
      <c r="A22" s="57">
        <f>IF(C22&lt;&gt;"", COUNTA($C$20:C22), "")</f>
        <v>3</v>
      </c>
      <c r="B22" s="95"/>
      <c r="C22" s="186" t="s">
        <v>293</v>
      </c>
      <c r="D22" s="186" t="s">
        <v>293</v>
      </c>
      <c r="E22" s="186" t="s">
        <v>293</v>
      </c>
      <c r="F22" s="186" t="s">
        <v>293</v>
      </c>
      <c r="G22" s="186" t="s">
        <v>293</v>
      </c>
      <c r="H22" s="186" t="s">
        <v>293</v>
      </c>
    </row>
    <row r="23" spans="1:8" x14ac:dyDescent="0.3">
      <c r="A23" s="57">
        <f>IF(C23&lt;&gt;"", COUNTA($C$20:C23), "")</f>
        <v>4</v>
      </c>
      <c r="B23" s="95"/>
      <c r="C23" s="186" t="s">
        <v>293</v>
      </c>
      <c r="D23" s="186" t="s">
        <v>293</v>
      </c>
      <c r="E23" s="186" t="s">
        <v>293</v>
      </c>
      <c r="F23" s="186" t="s">
        <v>293</v>
      </c>
      <c r="G23" s="186" t="s">
        <v>293</v>
      </c>
      <c r="H23" s="186" t="s">
        <v>293</v>
      </c>
    </row>
    <row r="24" spans="1:8" x14ac:dyDescent="0.3">
      <c r="A24" s="57">
        <f>IF(C24&lt;&gt;"", COUNTA($C$20:C24), "")</f>
        <v>5</v>
      </c>
      <c r="B24" s="95"/>
      <c r="C24" s="186" t="s">
        <v>177</v>
      </c>
      <c r="D24" s="186" t="s">
        <v>177</v>
      </c>
      <c r="E24" s="186" t="s">
        <v>177</v>
      </c>
      <c r="F24" s="186" t="s">
        <v>178</v>
      </c>
      <c r="G24" s="186" t="s">
        <v>177</v>
      </c>
      <c r="H24" s="186" t="s">
        <v>177</v>
      </c>
    </row>
    <row r="25" spans="1:8" x14ac:dyDescent="0.3">
      <c r="A25" s="57">
        <f>IF(C25&lt;&gt;"", COUNTA($C$20:C25), "")</f>
        <v>6</v>
      </c>
      <c r="B25" s="95"/>
      <c r="C25" s="186" t="s">
        <v>293</v>
      </c>
      <c r="D25" s="186" t="s">
        <v>177</v>
      </c>
      <c r="E25" s="186" t="s">
        <v>177</v>
      </c>
      <c r="F25" s="186" t="s">
        <v>178</v>
      </c>
      <c r="G25" s="186" t="s">
        <v>293</v>
      </c>
      <c r="H25" s="186" t="s">
        <v>293</v>
      </c>
    </row>
    <row r="26" spans="1:8" x14ac:dyDescent="0.3">
      <c r="A26" s="57">
        <f>IF(C26&lt;&gt;"", COUNTA($C$20:C26), "")</f>
        <v>7</v>
      </c>
      <c r="B26" s="95"/>
      <c r="C26" s="186" t="s">
        <v>177</v>
      </c>
      <c r="D26" s="186" t="s">
        <v>293</v>
      </c>
      <c r="E26" s="186" t="s">
        <v>293</v>
      </c>
      <c r="F26" s="186" t="s">
        <v>293</v>
      </c>
      <c r="G26" s="186" t="s">
        <v>177</v>
      </c>
      <c r="H26" s="186" t="s">
        <v>177</v>
      </c>
    </row>
    <row r="27" spans="1:8" x14ac:dyDescent="0.3">
      <c r="A27" s="57">
        <f>IF(C27&lt;&gt;"", COUNTA($C$20:C27), "")</f>
        <v>8</v>
      </c>
      <c r="B27" s="95"/>
      <c r="C27" s="186" t="s">
        <v>293</v>
      </c>
      <c r="D27" s="186" t="s">
        <v>293</v>
      </c>
      <c r="E27" s="186" t="s">
        <v>293</v>
      </c>
      <c r="F27" s="186" t="s">
        <v>293</v>
      </c>
      <c r="G27" s="186" t="s">
        <v>293</v>
      </c>
      <c r="H27" s="186" t="s">
        <v>293</v>
      </c>
    </row>
    <row r="28" spans="1:8" x14ac:dyDescent="0.3">
      <c r="A28" s="57">
        <f>IF(C28&lt;&gt;"", COUNTA($C$20:C28), "")</f>
        <v>9</v>
      </c>
      <c r="B28" s="95"/>
      <c r="C28" s="186" t="s">
        <v>177</v>
      </c>
      <c r="D28" s="186" t="s">
        <v>293</v>
      </c>
      <c r="E28" s="186" t="s">
        <v>293</v>
      </c>
      <c r="F28" s="186" t="s">
        <v>293</v>
      </c>
      <c r="G28" s="186" t="s">
        <v>177</v>
      </c>
      <c r="H28" s="186" t="s">
        <v>177</v>
      </c>
    </row>
    <row r="29" spans="1:8" x14ac:dyDescent="0.3">
      <c r="A29" s="57">
        <f>IF(C29&lt;&gt;"", COUNTA($C$20:C29), "")</f>
        <v>10</v>
      </c>
      <c r="B29" s="95"/>
      <c r="C29" s="186" t="s">
        <v>293</v>
      </c>
      <c r="D29" s="186" t="s">
        <v>293</v>
      </c>
      <c r="E29" s="186" t="s">
        <v>293</v>
      </c>
      <c r="F29" s="186" t="s">
        <v>293</v>
      </c>
      <c r="G29" s="186" t="s">
        <v>293</v>
      </c>
      <c r="H29" s="186" t="s">
        <v>293</v>
      </c>
    </row>
    <row r="30" spans="1:8" x14ac:dyDescent="0.3">
      <c r="A30" s="57">
        <f>IF(C30&lt;&gt;"", COUNTA($C$20:C30), "")</f>
        <v>11</v>
      </c>
      <c r="B30" s="95"/>
      <c r="C30" s="186" t="s">
        <v>177</v>
      </c>
      <c r="D30" s="186" t="s">
        <v>293</v>
      </c>
      <c r="E30" s="186" t="s">
        <v>293</v>
      </c>
      <c r="F30" s="186" t="s">
        <v>293</v>
      </c>
      <c r="G30" s="186" t="s">
        <v>177</v>
      </c>
      <c r="H30" s="186" t="s">
        <v>177</v>
      </c>
    </row>
    <row r="31" spans="1:8" x14ac:dyDescent="0.3">
      <c r="A31" s="57">
        <f>IF(C31&lt;&gt;"", COUNTA($C$20:C31), "")</f>
        <v>12</v>
      </c>
      <c r="B31" s="95"/>
      <c r="C31" s="186" t="s">
        <v>293</v>
      </c>
      <c r="D31" s="186" t="s">
        <v>293</v>
      </c>
      <c r="E31" s="186" t="s">
        <v>293</v>
      </c>
      <c r="F31" s="186" t="s">
        <v>293</v>
      </c>
      <c r="G31" s="186" t="s">
        <v>293</v>
      </c>
      <c r="H31" s="186" t="s">
        <v>293</v>
      </c>
    </row>
    <row r="32" spans="1:8" x14ac:dyDescent="0.3">
      <c r="A32" s="57">
        <f>IF(C32&lt;&gt;"", COUNTA($C$20:C32), "")</f>
        <v>13</v>
      </c>
      <c r="B32" s="95"/>
      <c r="C32" s="186" t="s">
        <v>177</v>
      </c>
      <c r="D32" s="186" t="s">
        <v>177</v>
      </c>
      <c r="E32" s="186" t="s">
        <v>177</v>
      </c>
      <c r="F32" s="186" t="s">
        <v>178</v>
      </c>
      <c r="G32" s="186" t="s">
        <v>293</v>
      </c>
      <c r="H32" s="186" t="s">
        <v>293</v>
      </c>
    </row>
    <row r="33" spans="1:8" x14ac:dyDescent="0.3">
      <c r="A33" s="57">
        <f>IF(C33&lt;&gt;"", COUNTA($C$20:C33), "")</f>
        <v>14</v>
      </c>
      <c r="B33" s="95"/>
      <c r="C33" s="186" t="s">
        <v>293</v>
      </c>
      <c r="D33" s="186" t="s">
        <v>177</v>
      </c>
      <c r="E33" s="186" t="s">
        <v>177</v>
      </c>
      <c r="F33" s="186" t="s">
        <v>178</v>
      </c>
      <c r="G33" s="186" t="s">
        <v>177</v>
      </c>
      <c r="H33" s="186" t="s">
        <v>293</v>
      </c>
    </row>
    <row r="34" spans="1:8" x14ac:dyDescent="0.3">
      <c r="A34" s="57">
        <f>IF(C34&lt;&gt;"", COUNTA($C$20:C34), "")</f>
        <v>15</v>
      </c>
      <c r="B34" s="95"/>
      <c r="C34" s="186" t="s">
        <v>293</v>
      </c>
      <c r="D34" s="186" t="s">
        <v>178</v>
      </c>
      <c r="E34" s="186" t="s">
        <v>178</v>
      </c>
      <c r="F34" s="186" t="s">
        <v>178</v>
      </c>
      <c r="G34" s="186" t="s">
        <v>293</v>
      </c>
      <c r="H34" s="186" t="s">
        <v>293</v>
      </c>
    </row>
    <row r="35" spans="1:8" x14ac:dyDescent="0.3">
      <c r="A35" s="57">
        <f>IF(C35&lt;&gt;"", COUNTA($C$20:C35), "")</f>
        <v>16</v>
      </c>
      <c r="B35" s="95"/>
      <c r="C35" s="186" t="s">
        <v>293</v>
      </c>
      <c r="D35" s="186" t="s">
        <v>178</v>
      </c>
      <c r="E35" s="186" t="s">
        <v>178</v>
      </c>
      <c r="F35" s="186" t="s">
        <v>178</v>
      </c>
      <c r="G35" s="186" t="s">
        <v>177</v>
      </c>
      <c r="H35" s="186" t="s">
        <v>293</v>
      </c>
    </row>
    <row r="36" spans="1:8" x14ac:dyDescent="0.3">
      <c r="A36" s="57">
        <f>IF(C36&lt;&gt;"", COUNTA($C$20:C36), "")</f>
        <v>17</v>
      </c>
      <c r="B36" s="95"/>
      <c r="C36" s="186" t="s">
        <v>293</v>
      </c>
      <c r="D36" s="186" t="s">
        <v>178</v>
      </c>
      <c r="E36" s="186" t="s">
        <v>178</v>
      </c>
      <c r="F36" s="186" t="s">
        <v>178</v>
      </c>
      <c r="G36" s="186" t="s">
        <v>293</v>
      </c>
      <c r="H36" s="186" t="s">
        <v>293</v>
      </c>
    </row>
    <row r="37" spans="1:8" x14ac:dyDescent="0.3">
      <c r="A37" s="57">
        <f>IF(C37&lt;&gt;"", COUNTA($C$20:C37), "")</f>
        <v>18</v>
      </c>
      <c r="B37" s="95"/>
      <c r="C37" s="186" t="s">
        <v>293</v>
      </c>
      <c r="D37" s="186" t="s">
        <v>178</v>
      </c>
      <c r="E37" s="186" t="s">
        <v>178</v>
      </c>
      <c r="F37" s="186" t="s">
        <v>178</v>
      </c>
      <c r="G37" s="186" t="s">
        <v>177</v>
      </c>
      <c r="H37" s="186" t="s">
        <v>293</v>
      </c>
    </row>
    <row r="38" spans="1:8" x14ac:dyDescent="0.3">
      <c r="A38" s="57">
        <f>IF(C38&lt;&gt;"", COUNTA($C$20:C38), "")</f>
        <v>19</v>
      </c>
      <c r="B38" s="95"/>
      <c r="C38" s="186" t="s">
        <v>177</v>
      </c>
      <c r="D38" s="186" t="s">
        <v>178</v>
      </c>
      <c r="E38" s="186" t="s">
        <v>178</v>
      </c>
      <c r="F38" s="186" t="s">
        <v>178</v>
      </c>
      <c r="G38" s="186" t="s">
        <v>293</v>
      </c>
      <c r="H38" s="186" t="s">
        <v>177</v>
      </c>
    </row>
    <row r="39" spans="1:8" x14ac:dyDescent="0.3">
      <c r="A39" s="57">
        <f>IF(C39&lt;&gt;"", COUNTA($C$20:C39), "")</f>
        <v>20</v>
      </c>
      <c r="B39" s="95"/>
      <c r="C39" s="186" t="s">
        <v>293</v>
      </c>
      <c r="D39" s="186" t="s">
        <v>178</v>
      </c>
      <c r="E39" s="186" t="s">
        <v>178</v>
      </c>
      <c r="F39" s="186" t="s">
        <v>178</v>
      </c>
      <c r="G39" s="186" t="s">
        <v>293</v>
      </c>
      <c r="H39" s="186" t="s">
        <v>293</v>
      </c>
    </row>
    <row r="40" spans="1:8" x14ac:dyDescent="0.3">
      <c r="A40" s="57">
        <f>IF(C40&lt;&gt;"", COUNTA($C$20:C40), "")</f>
        <v>21</v>
      </c>
      <c r="B40" s="95"/>
      <c r="C40" s="186" t="s">
        <v>177</v>
      </c>
      <c r="D40" s="186" t="s">
        <v>177</v>
      </c>
      <c r="E40" s="186" t="s">
        <v>293</v>
      </c>
      <c r="F40" s="186" t="s">
        <v>293</v>
      </c>
      <c r="G40" s="186" t="s">
        <v>293</v>
      </c>
      <c r="H40" s="186" t="s">
        <v>177</v>
      </c>
    </row>
    <row r="41" spans="1:8" ht="16.899999999999999" customHeight="1" x14ac:dyDescent="0.3">
      <c r="A41" s="57">
        <f>IF(C41&lt;&gt;"", COUNTA($C$20:C41), "")</f>
        <v>22</v>
      </c>
      <c r="B41" s="95"/>
      <c r="C41" s="186" t="s">
        <v>293</v>
      </c>
      <c r="D41" s="186" t="s">
        <v>293</v>
      </c>
      <c r="E41" s="186" t="s">
        <v>293</v>
      </c>
      <c r="F41" s="186" t="s">
        <v>293</v>
      </c>
      <c r="G41" s="186" t="s">
        <v>293</v>
      </c>
      <c r="H41" s="186" t="s">
        <v>293</v>
      </c>
    </row>
    <row r="42" spans="1:8" x14ac:dyDescent="0.3">
      <c r="A42" s="57">
        <f>IF(C42&lt;&gt;"", COUNTA($C$20:C42), "")</f>
        <v>23</v>
      </c>
      <c r="B42" s="95"/>
      <c r="C42" s="186" t="s">
        <v>177</v>
      </c>
      <c r="D42" s="186" t="s">
        <v>177</v>
      </c>
      <c r="E42" s="186" t="s">
        <v>293</v>
      </c>
      <c r="F42" s="186" t="s">
        <v>293</v>
      </c>
      <c r="G42" s="186" t="s">
        <v>293</v>
      </c>
      <c r="H42" s="186" t="s">
        <v>177</v>
      </c>
    </row>
    <row r="43" spans="1:8" ht="21" customHeight="1" x14ac:dyDescent="0.3">
      <c r="A43" s="57">
        <f>IF(C43&lt;&gt;"", COUNTA($C$20:C43), "")</f>
        <v>24</v>
      </c>
      <c r="B43" s="95"/>
      <c r="C43" s="186" t="s">
        <v>293</v>
      </c>
      <c r="D43" s="186" t="s">
        <v>293</v>
      </c>
      <c r="E43" s="186" t="s">
        <v>293</v>
      </c>
      <c r="F43" s="186" t="s">
        <v>293</v>
      </c>
      <c r="G43" s="186" t="s">
        <v>293</v>
      </c>
      <c r="H43" s="186" t="s">
        <v>293</v>
      </c>
    </row>
    <row r="44" spans="1:8" x14ac:dyDescent="0.3">
      <c r="A44" s="57" t="str">
        <f>IF(C44&lt;&gt;"", COUNTA($C$20:C44), "")</f>
        <v/>
      </c>
      <c r="B44" s="95"/>
      <c r="C44" s="186"/>
      <c r="D44" s="186"/>
      <c r="E44" s="186"/>
      <c r="F44" s="186"/>
      <c r="G44" s="186"/>
      <c r="H44" s="186"/>
    </row>
    <row r="45" spans="1:8" x14ac:dyDescent="0.3">
      <c r="A45" s="57" t="str">
        <f>IF(C45&lt;&gt;"", COUNTA($C$20:C45), "")</f>
        <v/>
      </c>
      <c r="B45" s="95"/>
      <c r="C45" s="97"/>
      <c r="D45" s="97"/>
      <c r="E45" s="97"/>
      <c r="F45" s="97"/>
      <c r="G45" s="97"/>
      <c r="H45" s="97"/>
    </row>
    <row r="46" spans="1:8" x14ac:dyDescent="0.3">
      <c r="A46" s="57" t="str">
        <f>IF(C46&lt;&gt;"", COUNTA($C$20:C46), "")</f>
        <v/>
      </c>
      <c r="B46" s="95"/>
      <c r="C46" s="97"/>
      <c r="D46" s="97"/>
      <c r="E46" s="97"/>
      <c r="F46" s="97"/>
      <c r="G46" s="97"/>
      <c r="H46" s="97"/>
    </row>
    <row r="47" spans="1:8" x14ac:dyDescent="0.3">
      <c r="A47" s="57" t="str">
        <f>IF(C47&lt;&gt;"", COUNTA($C$20:C47), "")</f>
        <v/>
      </c>
      <c r="B47" s="95"/>
      <c r="C47" s="97"/>
      <c r="D47" s="97"/>
      <c r="E47" s="97"/>
      <c r="F47" s="97"/>
      <c r="G47" s="97"/>
      <c r="H47" s="97"/>
    </row>
    <row r="48" spans="1:8" x14ac:dyDescent="0.3">
      <c r="A48" s="57" t="str">
        <f>IF(C48&lt;&gt;"", COUNTA($C$20:C48), "")</f>
        <v/>
      </c>
      <c r="B48" s="95"/>
      <c r="C48" s="97"/>
      <c r="D48" s="97"/>
      <c r="E48" s="97"/>
      <c r="F48" s="97"/>
      <c r="G48" s="97"/>
      <c r="H48" s="97"/>
    </row>
    <row r="49" spans="1:8" x14ac:dyDescent="0.3">
      <c r="A49" s="57" t="str">
        <f>IF(C49&lt;&gt;"", COUNTA($C$20:C49), "")</f>
        <v/>
      </c>
      <c r="B49" s="95"/>
      <c r="C49" s="97"/>
      <c r="D49" s="97"/>
      <c r="E49" s="97"/>
      <c r="F49" s="97"/>
      <c r="G49" s="97"/>
      <c r="H49" s="97"/>
    </row>
    <row r="50" spans="1:8" x14ac:dyDescent="0.3">
      <c r="A50" s="57" t="str">
        <f>IF(C50&lt;&gt;"", COUNTA($C$20:C50), "")</f>
        <v/>
      </c>
      <c r="B50" s="95"/>
      <c r="C50" s="97"/>
      <c r="D50" s="97"/>
      <c r="E50" s="97"/>
      <c r="F50" s="97"/>
      <c r="G50" s="97"/>
      <c r="H50" s="97"/>
    </row>
    <row r="51" spans="1:8" x14ac:dyDescent="0.3">
      <c r="A51" s="57" t="str">
        <f>IF(C51&lt;&gt;"", COUNTA($C$20:C51), "")</f>
        <v/>
      </c>
      <c r="B51" s="95"/>
      <c r="C51" s="97"/>
      <c r="D51" s="97"/>
      <c r="E51" s="97"/>
      <c r="F51" s="97"/>
      <c r="G51" s="97"/>
      <c r="H51" s="97"/>
    </row>
    <row r="52" spans="1:8" x14ac:dyDescent="0.3">
      <c r="A52" s="57" t="str">
        <f>IF(C52&lt;&gt;"", COUNTA($C$20:C52), "")</f>
        <v/>
      </c>
      <c r="B52" s="95"/>
      <c r="C52" s="97"/>
      <c r="D52" s="97"/>
      <c r="E52" s="97"/>
      <c r="F52" s="97"/>
      <c r="G52" s="97"/>
      <c r="H52" s="97"/>
    </row>
    <row r="53" spans="1:8" x14ac:dyDescent="0.3">
      <c r="A53" s="57" t="str">
        <f>IF(C53&lt;&gt;"", COUNTA($C$20:C53), "")</f>
        <v/>
      </c>
      <c r="B53" s="95"/>
      <c r="C53" s="97"/>
      <c r="D53" s="97"/>
      <c r="E53" s="97"/>
      <c r="F53" s="97"/>
      <c r="G53" s="97"/>
      <c r="H53" s="97"/>
    </row>
    <row r="54" spans="1:8" x14ac:dyDescent="0.3">
      <c r="A54" s="57" t="str">
        <f>IF(C54&lt;&gt;"", COUNTA($C$20:C54), "")</f>
        <v/>
      </c>
      <c r="B54" s="95"/>
      <c r="C54" s="97"/>
      <c r="D54" s="97"/>
      <c r="E54" s="97"/>
      <c r="F54" s="97"/>
      <c r="G54" s="97"/>
      <c r="H54" s="97"/>
    </row>
    <row r="55" spans="1:8" x14ac:dyDescent="0.3">
      <c r="A55" s="57" t="str">
        <f>IF(C55&lt;&gt;"", COUNTA($C$20:C55), "")</f>
        <v/>
      </c>
      <c r="B55" s="95"/>
      <c r="C55" s="97"/>
      <c r="D55" s="97"/>
      <c r="E55" s="97"/>
      <c r="F55" s="97"/>
      <c r="G55" s="97"/>
      <c r="H55" s="97"/>
    </row>
    <row r="56" spans="1:8" x14ac:dyDescent="0.3">
      <c r="A56" s="57" t="str">
        <f>IF(C56&lt;&gt;"", COUNTA($C$20:C56), "")</f>
        <v/>
      </c>
      <c r="B56" s="95"/>
      <c r="C56" s="96"/>
      <c r="D56" s="96"/>
      <c r="E56" s="97"/>
      <c r="F56" s="97"/>
      <c r="G56" s="97"/>
      <c r="H56" s="97"/>
    </row>
    <row r="57" spans="1:8" x14ac:dyDescent="0.3">
      <c r="A57" s="57" t="str">
        <f>IF(C57&lt;&gt;"", COUNTA($C$20:C57), "")</f>
        <v/>
      </c>
      <c r="B57" s="95"/>
      <c r="C57" s="97"/>
      <c r="D57" s="97"/>
      <c r="E57" s="97"/>
      <c r="F57" s="97"/>
      <c r="G57" s="97"/>
      <c r="H57" s="97"/>
    </row>
    <row r="58" spans="1:8" x14ac:dyDescent="0.3">
      <c r="A58" s="57" t="str">
        <f>IF(C58&lt;&gt;"", COUNTA($C$20:C58), "")</f>
        <v/>
      </c>
      <c r="B58" s="95"/>
      <c r="C58" s="97"/>
      <c r="D58" s="97"/>
      <c r="E58" s="97"/>
      <c r="F58" s="97"/>
      <c r="G58" s="97"/>
      <c r="H58" s="97"/>
    </row>
    <row r="59" spans="1:8" x14ac:dyDescent="0.3">
      <c r="A59" s="57" t="str">
        <f>IF(C59&lt;&gt;"", COUNTA($C$20:C59), "")</f>
        <v/>
      </c>
      <c r="B59" s="95"/>
      <c r="C59" s="97"/>
      <c r="D59" s="97"/>
      <c r="E59" s="97"/>
      <c r="F59" s="97"/>
      <c r="G59" s="97"/>
      <c r="H59" s="97"/>
    </row>
    <row r="60" spans="1:8" x14ac:dyDescent="0.3">
      <c r="A60" s="57" t="str">
        <f>IF(C60&lt;&gt;"", COUNTA($C$20:C60), "")</f>
        <v/>
      </c>
      <c r="B60" s="95"/>
      <c r="C60" s="97"/>
      <c r="D60" s="97"/>
      <c r="E60" s="97"/>
      <c r="F60" s="97"/>
      <c r="G60" s="97"/>
      <c r="H60" s="97"/>
    </row>
    <row r="61" spans="1:8" x14ac:dyDescent="0.3">
      <c r="A61" s="57" t="str">
        <f>IF(C61&lt;&gt;"", COUNTA($C$20:C61), "")</f>
        <v/>
      </c>
      <c r="B61" s="95"/>
      <c r="C61" s="97"/>
      <c r="D61" s="97"/>
      <c r="E61" s="97"/>
      <c r="F61" s="97"/>
      <c r="G61" s="97"/>
      <c r="H61" s="97"/>
    </row>
    <row r="62" spans="1:8" x14ac:dyDescent="0.3">
      <c r="A62" s="57" t="str">
        <f>IF(C62&lt;&gt;"", COUNTA($C$20:C62), "")</f>
        <v/>
      </c>
      <c r="B62" s="95"/>
      <c r="C62" s="97"/>
      <c r="D62" s="97"/>
      <c r="E62" s="97"/>
      <c r="F62" s="97"/>
      <c r="G62" s="97"/>
      <c r="H62" s="97"/>
    </row>
    <row r="63" spans="1:8" x14ac:dyDescent="0.3">
      <c r="A63" s="57" t="str">
        <f>IF(C63&lt;&gt;"", COUNTA($C$20:C63), "")</f>
        <v/>
      </c>
      <c r="B63" s="95"/>
      <c r="C63" s="97"/>
      <c r="D63" s="97"/>
      <c r="E63" s="97"/>
      <c r="F63" s="97"/>
      <c r="G63" s="97"/>
      <c r="H63" s="97"/>
    </row>
    <row r="64" spans="1:8" x14ac:dyDescent="0.3">
      <c r="A64" s="57" t="str">
        <f>IF(C64&lt;&gt;"", COUNTA($C$20:C64), "")</f>
        <v/>
      </c>
      <c r="B64" s="95"/>
      <c r="C64" s="97"/>
      <c r="D64" s="97"/>
      <c r="E64" s="97"/>
      <c r="F64" s="97"/>
      <c r="G64" s="97"/>
      <c r="H64" s="97"/>
    </row>
    <row r="65" spans="1:8" x14ac:dyDescent="0.3">
      <c r="A65" s="57" t="str">
        <f>IF(C65&lt;&gt;"", COUNTA($C$20:C65), "")</f>
        <v/>
      </c>
      <c r="B65" s="95"/>
      <c r="C65" s="97"/>
      <c r="D65" s="97"/>
      <c r="E65" s="97"/>
      <c r="F65" s="97"/>
      <c r="G65" s="97"/>
      <c r="H65" s="97"/>
    </row>
    <row r="66" spans="1:8" x14ac:dyDescent="0.3">
      <c r="A66" s="57" t="str">
        <f>IF(C66&lt;&gt;"", COUNTA($C$20:C66), "")</f>
        <v/>
      </c>
      <c r="B66" s="95"/>
      <c r="C66" s="97"/>
      <c r="D66" s="97"/>
      <c r="E66" s="97"/>
      <c r="F66" s="97"/>
      <c r="G66" s="97"/>
      <c r="H66" s="97"/>
    </row>
    <row r="67" spans="1:8" x14ac:dyDescent="0.3">
      <c r="A67" s="57" t="str">
        <f>IF(C67&lt;&gt;"", COUNTA($C$20:C67), "")</f>
        <v/>
      </c>
      <c r="B67" s="95"/>
      <c r="C67" s="97"/>
      <c r="D67" s="97"/>
      <c r="E67" s="97"/>
      <c r="F67" s="97"/>
      <c r="G67" s="97"/>
      <c r="H67" s="97"/>
    </row>
    <row r="68" spans="1:8" x14ac:dyDescent="0.3">
      <c r="A68" s="57" t="str">
        <f>IF(C68&lt;&gt;"", COUNTA($C$20:C68), "")</f>
        <v/>
      </c>
      <c r="B68" s="95"/>
      <c r="C68" s="96"/>
      <c r="D68" s="96"/>
      <c r="E68" s="97"/>
      <c r="F68" s="97"/>
      <c r="G68" s="97"/>
      <c r="H68" s="97"/>
    </row>
    <row r="69" spans="1:8" x14ac:dyDescent="0.3">
      <c r="A69" s="57" t="str">
        <f>IF(C69&lt;&gt;"", COUNTA($C$20:C69), "")</f>
        <v/>
      </c>
      <c r="B69" s="95"/>
      <c r="C69" s="97"/>
      <c r="D69" s="97"/>
      <c r="E69" s="97"/>
      <c r="F69" s="97"/>
      <c r="G69" s="97"/>
      <c r="H69" s="97"/>
    </row>
    <row r="70" spans="1:8" x14ac:dyDescent="0.3">
      <c r="A70" s="57" t="str">
        <f>IF(C70&lt;&gt;"", COUNTA($C$20:C70), "")</f>
        <v/>
      </c>
      <c r="B70" s="95"/>
      <c r="C70" s="97"/>
      <c r="D70" s="97"/>
      <c r="E70" s="97"/>
      <c r="F70" s="97"/>
      <c r="G70" s="97"/>
      <c r="H70" s="97"/>
    </row>
    <row r="71" spans="1:8" x14ac:dyDescent="0.3">
      <c r="A71" s="57" t="str">
        <f>IF(C71&lt;&gt;"", COUNTA($C$20:C71), "")</f>
        <v/>
      </c>
      <c r="B71" s="95"/>
      <c r="C71" s="97"/>
      <c r="D71" s="97"/>
      <c r="E71" s="97"/>
      <c r="F71" s="97"/>
      <c r="G71" s="97"/>
      <c r="H71" s="97"/>
    </row>
    <row r="72" spans="1:8" x14ac:dyDescent="0.3">
      <c r="A72" s="57" t="str">
        <f>IF(C72&lt;&gt;"", COUNTA($C$20:C72), "")</f>
        <v/>
      </c>
      <c r="B72" s="95"/>
      <c r="C72" s="97"/>
      <c r="D72" s="97"/>
      <c r="E72" s="97"/>
      <c r="F72" s="97"/>
      <c r="G72" s="97"/>
      <c r="H72" s="97"/>
    </row>
    <row r="73" spans="1:8" x14ac:dyDescent="0.3">
      <c r="A73" s="57" t="str">
        <f>IF(C73&lt;&gt;"", COUNTA($C$20:C73), "")</f>
        <v/>
      </c>
      <c r="B73" s="95"/>
      <c r="C73" s="97"/>
      <c r="D73" s="97"/>
      <c r="E73" s="97"/>
      <c r="F73" s="97"/>
      <c r="G73" s="97"/>
      <c r="H73" s="97"/>
    </row>
    <row r="74" spans="1:8" x14ac:dyDescent="0.3">
      <c r="A74" s="57" t="str">
        <f>IF(C74&lt;&gt;"", COUNTA($C$20:C74), "")</f>
        <v/>
      </c>
      <c r="B74" s="95"/>
      <c r="C74" s="97"/>
      <c r="D74" s="97"/>
      <c r="E74" s="97"/>
      <c r="F74" s="97"/>
      <c r="G74" s="97"/>
      <c r="H74" s="97"/>
    </row>
    <row r="75" spans="1:8" x14ac:dyDescent="0.3">
      <c r="A75" s="57" t="str">
        <f>IF(C75&lt;&gt;"", COUNTA($C$20:C75), "")</f>
        <v/>
      </c>
      <c r="B75" s="95"/>
      <c r="C75" s="97"/>
      <c r="D75" s="97"/>
      <c r="E75" s="97"/>
      <c r="F75" s="97"/>
      <c r="G75" s="97"/>
      <c r="H75" s="97"/>
    </row>
    <row r="76" spans="1:8" x14ac:dyDescent="0.3">
      <c r="A76" s="57" t="str">
        <f>IF(C76&lt;&gt;"", COUNTA($C$20:C76), "")</f>
        <v/>
      </c>
      <c r="B76" s="95"/>
      <c r="C76" s="97"/>
      <c r="D76" s="97"/>
      <c r="E76" s="97"/>
      <c r="F76" s="97"/>
      <c r="G76" s="97"/>
      <c r="H76" s="97"/>
    </row>
    <row r="77" spans="1:8" x14ac:dyDescent="0.3">
      <c r="A77" s="57" t="str">
        <f>IF(C77&lt;&gt;"", COUNTA($C$20:C77), "")</f>
        <v/>
      </c>
      <c r="B77" s="95"/>
      <c r="C77" s="97"/>
      <c r="D77" s="97"/>
      <c r="E77" s="97"/>
      <c r="F77" s="97"/>
      <c r="G77" s="97"/>
      <c r="H77" s="97"/>
    </row>
    <row r="78" spans="1:8" x14ac:dyDescent="0.3">
      <c r="A78" s="57" t="str">
        <f>IF(C78&lt;&gt;"", COUNTA($C$20:C78), "")</f>
        <v/>
      </c>
      <c r="B78" s="95"/>
      <c r="C78" s="97"/>
      <c r="D78" s="97"/>
      <c r="E78" s="97"/>
      <c r="F78" s="97"/>
      <c r="G78" s="97"/>
      <c r="H78" s="97"/>
    </row>
    <row r="79" spans="1:8" x14ac:dyDescent="0.3">
      <c r="A79" s="57" t="str">
        <f>IF(C79&lt;&gt;"", COUNTA($C$20:C79), "")</f>
        <v/>
      </c>
      <c r="B79" s="95"/>
      <c r="C79" s="97"/>
      <c r="D79" s="97"/>
      <c r="E79" s="97"/>
      <c r="F79" s="97"/>
      <c r="G79" s="97"/>
      <c r="H79" s="97"/>
    </row>
    <row r="80" spans="1:8" x14ac:dyDescent="0.3">
      <c r="A80" s="57" t="str">
        <f>IF(C80&lt;&gt;"", COUNTA($C$20:C80), "")</f>
        <v/>
      </c>
      <c r="B80" s="95"/>
      <c r="C80" s="96"/>
      <c r="D80" s="96"/>
      <c r="E80" s="97"/>
      <c r="F80" s="97"/>
      <c r="G80" s="97"/>
      <c r="H80" s="97"/>
    </row>
    <row r="81" spans="1:8" x14ac:dyDescent="0.3">
      <c r="A81" s="57" t="str">
        <f>IF(C81&lt;&gt;"", COUNTA($C$20:C81), "")</f>
        <v/>
      </c>
      <c r="B81" s="95"/>
      <c r="C81" s="97"/>
      <c r="D81" s="97"/>
      <c r="E81" s="97"/>
      <c r="F81" s="97"/>
      <c r="G81" s="97"/>
      <c r="H81" s="97"/>
    </row>
    <row r="82" spans="1:8" x14ac:dyDescent="0.3">
      <c r="A82" s="57" t="str">
        <f>IF(C82&lt;&gt;"", COUNTA($C$20:C82), "")</f>
        <v/>
      </c>
      <c r="B82" s="95"/>
      <c r="C82" s="97"/>
      <c r="D82" s="97"/>
      <c r="E82" s="97"/>
      <c r="F82" s="97"/>
      <c r="G82" s="97"/>
      <c r="H82" s="97"/>
    </row>
    <row r="83" spans="1:8" x14ac:dyDescent="0.3">
      <c r="A83" s="57" t="str">
        <f>IF(C83&lt;&gt;"", COUNTA($C$20:C83), "")</f>
        <v/>
      </c>
      <c r="B83" s="95"/>
      <c r="C83" s="97"/>
      <c r="D83" s="97"/>
      <c r="E83" s="97"/>
      <c r="F83" s="97"/>
      <c r="G83" s="97"/>
      <c r="H83" s="97"/>
    </row>
    <row r="84" spans="1:8" x14ac:dyDescent="0.3">
      <c r="A84" s="57" t="str">
        <f>IF(C84&lt;&gt;"", COUNTA($C$20:C84), "")</f>
        <v/>
      </c>
      <c r="B84" s="95"/>
      <c r="C84" s="97"/>
      <c r="D84" s="97"/>
      <c r="E84" s="97"/>
      <c r="F84" s="97"/>
      <c r="G84" s="97"/>
      <c r="H84" s="97"/>
    </row>
    <row r="85" spans="1:8" x14ac:dyDescent="0.3">
      <c r="A85" s="57" t="str">
        <f>IF(C85&lt;&gt;"", COUNTA($C$20:C85), "")</f>
        <v/>
      </c>
      <c r="B85" s="95"/>
      <c r="C85" s="97"/>
      <c r="D85" s="97"/>
      <c r="E85" s="97"/>
      <c r="F85" s="97"/>
      <c r="G85" s="97"/>
      <c r="H85" s="97"/>
    </row>
    <row r="86" spans="1:8" x14ac:dyDescent="0.3">
      <c r="A86" s="57" t="str">
        <f>IF(C86&lt;&gt;"", COUNTA($C$20:C86), "")</f>
        <v/>
      </c>
      <c r="B86" s="95"/>
      <c r="C86" s="97"/>
      <c r="D86" s="97"/>
      <c r="E86" s="97"/>
      <c r="F86" s="97"/>
      <c r="G86" s="97"/>
      <c r="H86" s="97"/>
    </row>
    <row r="87" spans="1:8" x14ac:dyDescent="0.3">
      <c r="A87" s="57" t="str">
        <f>IF(C87&lt;&gt;"", COUNTA($C$20:C87), "")</f>
        <v/>
      </c>
      <c r="B87" s="95"/>
      <c r="C87" s="97"/>
      <c r="D87" s="97"/>
      <c r="E87" s="97"/>
      <c r="F87" s="97"/>
      <c r="G87" s="97"/>
      <c r="H87" s="97"/>
    </row>
    <row r="88" spans="1:8" x14ac:dyDescent="0.3">
      <c r="A88" s="57" t="str">
        <f>IF(C88&lt;&gt;"", COUNTA($C$20:C88), "")</f>
        <v/>
      </c>
      <c r="B88" s="95"/>
      <c r="C88" s="97"/>
      <c r="D88" s="97"/>
      <c r="E88" s="97"/>
      <c r="F88" s="97"/>
      <c r="G88" s="97"/>
      <c r="H88" s="97"/>
    </row>
    <row r="89" spans="1:8" x14ac:dyDescent="0.3">
      <c r="A89" s="57" t="str">
        <f>IF(C89&lt;&gt;"", COUNTA($C$20:C89), "")</f>
        <v/>
      </c>
      <c r="B89" s="95"/>
      <c r="C89" s="97"/>
      <c r="D89" s="97"/>
      <c r="E89" s="97"/>
      <c r="F89" s="97"/>
      <c r="G89" s="97"/>
      <c r="H89" s="97"/>
    </row>
    <row r="90" spans="1:8" x14ac:dyDescent="0.3">
      <c r="A90" s="57" t="str">
        <f>IF(C90&lt;&gt;"", COUNTA($C$20:C90), "")</f>
        <v/>
      </c>
      <c r="B90" s="95"/>
      <c r="C90" s="97"/>
      <c r="D90" s="97"/>
      <c r="E90" s="97"/>
      <c r="F90" s="97"/>
      <c r="G90" s="97"/>
      <c r="H90" s="97"/>
    </row>
    <row r="91" spans="1:8" x14ac:dyDescent="0.3">
      <c r="A91" s="57" t="str">
        <f>IF(C91&lt;&gt;"", COUNTA($C$20:C91), "")</f>
        <v/>
      </c>
      <c r="B91" s="95"/>
      <c r="C91" s="97"/>
      <c r="D91" s="97"/>
      <c r="E91" s="97"/>
      <c r="F91" s="97"/>
      <c r="G91" s="97"/>
      <c r="H91" s="97"/>
    </row>
    <row r="92" spans="1:8" x14ac:dyDescent="0.3">
      <c r="A92" s="57" t="str">
        <f>IF(C92&lt;&gt;"", COUNTA($C$20:C92), "")</f>
        <v/>
      </c>
      <c r="B92" s="95"/>
      <c r="C92" s="96"/>
      <c r="D92" s="96"/>
      <c r="E92" s="97"/>
      <c r="F92" s="97"/>
      <c r="G92" s="97"/>
      <c r="H92" s="97"/>
    </row>
    <row r="93" spans="1:8" x14ac:dyDescent="0.3">
      <c r="A93" s="57" t="str">
        <f>IF(C93&lt;&gt;"", COUNTA($C$20:C93), "")</f>
        <v/>
      </c>
      <c r="B93" s="95"/>
      <c r="C93" s="97"/>
      <c r="D93" s="97"/>
      <c r="E93" s="97"/>
      <c r="F93" s="97"/>
      <c r="G93" s="97"/>
      <c r="H93" s="97"/>
    </row>
    <row r="94" spans="1:8" x14ac:dyDescent="0.3">
      <c r="A94" s="57" t="str">
        <f>IF(C94&lt;&gt;"", COUNTA($C$20:C94), "")</f>
        <v/>
      </c>
      <c r="B94" s="95"/>
      <c r="C94" s="97"/>
      <c r="D94" s="97"/>
      <c r="E94" s="97"/>
      <c r="F94" s="97"/>
      <c r="G94" s="97"/>
      <c r="H94" s="97"/>
    </row>
    <row r="95" spans="1:8" x14ac:dyDescent="0.3">
      <c r="A95" s="57" t="str">
        <f>IF(C95&lt;&gt;"", COUNTA($C$20:C95), "")</f>
        <v/>
      </c>
      <c r="B95" s="95"/>
      <c r="C95" s="97"/>
      <c r="D95" s="97"/>
      <c r="E95" s="97"/>
      <c r="F95" s="97"/>
      <c r="G95" s="97"/>
      <c r="H95" s="97"/>
    </row>
    <row r="96" spans="1:8" x14ac:dyDescent="0.3">
      <c r="A96" s="57" t="str">
        <f>IF(C96&lt;&gt;"", COUNTA($C$20:C96), "")</f>
        <v/>
      </c>
      <c r="B96" s="95"/>
      <c r="C96" s="97"/>
      <c r="D96" s="97"/>
      <c r="E96" s="97"/>
      <c r="F96" s="97"/>
      <c r="G96" s="97"/>
      <c r="H96" s="97"/>
    </row>
    <row r="97" spans="1:8" x14ac:dyDescent="0.3">
      <c r="A97" s="57" t="str">
        <f>IF(C97&lt;&gt;"", COUNTA($C$20:C97), "")</f>
        <v/>
      </c>
      <c r="B97" s="95"/>
      <c r="C97" s="97"/>
      <c r="D97" s="97"/>
      <c r="E97" s="97"/>
      <c r="F97" s="97"/>
      <c r="G97" s="97"/>
      <c r="H97" s="97"/>
    </row>
    <row r="98" spans="1:8" x14ac:dyDescent="0.3">
      <c r="A98" s="57" t="str">
        <f>IF(C98&lt;&gt;"", COUNTA($C$20:C98), "")</f>
        <v/>
      </c>
      <c r="B98" s="95"/>
      <c r="C98" s="97"/>
      <c r="D98" s="97"/>
      <c r="E98" s="97"/>
      <c r="F98" s="97"/>
      <c r="G98" s="97"/>
      <c r="H98" s="97"/>
    </row>
    <row r="99" spans="1:8" x14ac:dyDescent="0.3">
      <c r="A99" s="57" t="str">
        <f>IF(C99&lt;&gt;"", COUNTA($C$20:C99), "")</f>
        <v/>
      </c>
      <c r="B99" s="95"/>
      <c r="C99" s="97"/>
      <c r="D99" s="97"/>
      <c r="E99" s="97"/>
      <c r="F99" s="97"/>
      <c r="G99" s="97"/>
      <c r="H99" s="97"/>
    </row>
    <row r="100" spans="1:8" x14ac:dyDescent="0.3">
      <c r="A100" s="57" t="str">
        <f>IF(C100&lt;&gt;"", COUNTA($C$20:C100), "")</f>
        <v/>
      </c>
      <c r="B100" s="95"/>
      <c r="C100" s="97"/>
      <c r="D100" s="97"/>
      <c r="E100" s="97"/>
      <c r="F100" s="97"/>
      <c r="G100" s="97"/>
      <c r="H100" s="97"/>
    </row>
    <row r="101" spans="1:8" x14ac:dyDescent="0.3">
      <c r="A101" s="57" t="str">
        <f>IF(C101&lt;&gt;"", COUNTA($C$20:C101), "")</f>
        <v/>
      </c>
      <c r="B101" s="95"/>
      <c r="C101" s="97"/>
      <c r="D101" s="97"/>
      <c r="E101" s="97"/>
      <c r="F101" s="97"/>
      <c r="G101" s="97"/>
      <c r="H101" s="97"/>
    </row>
    <row r="102" spans="1:8" x14ac:dyDescent="0.3">
      <c r="A102" s="57" t="str">
        <f>IF(C102&lt;&gt;"", COUNTA($C$20:C102), "")</f>
        <v/>
      </c>
      <c r="B102" s="95"/>
      <c r="C102" s="97"/>
      <c r="D102" s="97"/>
      <c r="E102" s="97"/>
      <c r="F102" s="97"/>
      <c r="G102" s="97"/>
      <c r="H102" s="97"/>
    </row>
    <row r="103" spans="1:8" x14ac:dyDescent="0.3">
      <c r="A103" s="57" t="str">
        <f>IF(C103&lt;&gt;"", COUNTA($C$20:C103), "")</f>
        <v/>
      </c>
      <c r="B103" s="95"/>
      <c r="C103" s="97"/>
      <c r="D103" s="97"/>
      <c r="E103" s="97"/>
      <c r="F103" s="97"/>
      <c r="G103" s="97"/>
      <c r="H103" s="97"/>
    </row>
    <row r="104" spans="1:8" x14ac:dyDescent="0.3">
      <c r="A104" s="57" t="str">
        <f>IF(C104&lt;&gt;"", COUNTA($C$20:C104), "")</f>
        <v/>
      </c>
      <c r="B104" s="95"/>
      <c r="C104" s="96"/>
      <c r="D104" s="96"/>
      <c r="E104" s="97"/>
      <c r="F104" s="97"/>
      <c r="G104" s="97"/>
      <c r="H104" s="97"/>
    </row>
    <row r="105" spans="1:8" x14ac:dyDescent="0.3">
      <c r="A105" s="57" t="str">
        <f>IF(C105&lt;&gt;"", COUNTA($C$20:C105), "")</f>
        <v/>
      </c>
      <c r="B105" s="95"/>
      <c r="C105" s="97"/>
      <c r="D105" s="97"/>
      <c r="E105" s="97"/>
      <c r="F105" s="97"/>
      <c r="G105" s="97"/>
      <c r="H105" s="97"/>
    </row>
    <row r="106" spans="1:8" x14ac:dyDescent="0.3">
      <c r="A106" s="57" t="str">
        <f>IF(C106&lt;&gt;"", COUNTA($C$20:C106), "")</f>
        <v/>
      </c>
      <c r="B106" s="95"/>
      <c r="C106" s="97"/>
      <c r="D106" s="97"/>
      <c r="E106" s="97"/>
      <c r="F106" s="97"/>
      <c r="G106" s="97"/>
      <c r="H106" s="97"/>
    </row>
    <row r="107" spans="1:8" x14ac:dyDescent="0.3">
      <c r="A107" s="57" t="str">
        <f>IF(C107&lt;&gt;"", COUNTA($C$20:C107), "")</f>
        <v/>
      </c>
      <c r="B107" s="95"/>
      <c r="C107" s="97"/>
      <c r="D107" s="97"/>
      <c r="E107" s="97"/>
      <c r="F107" s="97"/>
      <c r="G107" s="97"/>
      <c r="H107" s="97"/>
    </row>
    <row r="108" spans="1:8" x14ac:dyDescent="0.3">
      <c r="A108" s="57" t="str">
        <f>IF(C108&lt;&gt;"", COUNTA($C$20:C108), "")</f>
        <v/>
      </c>
      <c r="B108" s="95"/>
      <c r="C108" s="97"/>
      <c r="D108" s="97"/>
      <c r="E108" s="97"/>
      <c r="F108" s="97"/>
      <c r="G108" s="97"/>
      <c r="H108" s="97"/>
    </row>
    <row r="109" spans="1:8" x14ac:dyDescent="0.3">
      <c r="A109" s="57" t="str">
        <f>IF(C109&lt;&gt;"", COUNTA($C$20:C109), "")</f>
        <v/>
      </c>
      <c r="B109" s="95"/>
      <c r="C109" s="97"/>
      <c r="D109" s="97"/>
      <c r="E109" s="97"/>
      <c r="F109" s="97"/>
      <c r="G109" s="97"/>
      <c r="H109" s="97"/>
    </row>
    <row r="110" spans="1:8" x14ac:dyDescent="0.3">
      <c r="A110" s="57" t="str">
        <f>IF(C110&lt;&gt;"", COUNTA($C$20:C110), "")</f>
        <v/>
      </c>
      <c r="B110" s="95"/>
      <c r="C110" s="97"/>
      <c r="D110" s="97"/>
      <c r="E110" s="97"/>
      <c r="F110" s="97"/>
      <c r="G110" s="97"/>
      <c r="H110" s="97"/>
    </row>
    <row r="111" spans="1:8" x14ac:dyDescent="0.3">
      <c r="A111" s="57" t="str">
        <f>IF(C111&lt;&gt;"", COUNTA($C$20:C111), "")</f>
        <v/>
      </c>
      <c r="B111" s="95"/>
      <c r="C111" s="97"/>
      <c r="D111" s="97"/>
      <c r="E111" s="97"/>
      <c r="F111" s="97"/>
      <c r="G111" s="97"/>
      <c r="H111" s="97"/>
    </row>
    <row r="112" spans="1:8" x14ac:dyDescent="0.3">
      <c r="A112" s="57" t="str">
        <f>IF(C112&lt;&gt;"", COUNTA($C$20:C112), "")</f>
        <v/>
      </c>
      <c r="B112" s="95"/>
      <c r="C112" s="97"/>
      <c r="D112" s="97"/>
      <c r="E112" s="97"/>
      <c r="F112" s="97"/>
      <c r="G112" s="97"/>
      <c r="H112" s="97"/>
    </row>
    <row r="113" spans="1:8" x14ac:dyDescent="0.3">
      <c r="A113" s="57" t="str">
        <f>IF(C113&lt;&gt;"", COUNTA($C$20:C113), "")</f>
        <v/>
      </c>
      <c r="B113" s="95"/>
      <c r="C113" s="97"/>
      <c r="D113" s="97"/>
      <c r="E113" s="97"/>
      <c r="F113" s="97"/>
      <c r="G113" s="97"/>
      <c r="H113" s="97"/>
    </row>
    <row r="114" spans="1:8" x14ac:dyDescent="0.3">
      <c r="A114" s="57" t="str">
        <f>IF(C114&lt;&gt;"", COUNTA($C$20:C114), "")</f>
        <v/>
      </c>
      <c r="B114" s="95"/>
      <c r="C114" s="97"/>
      <c r="D114" s="97"/>
      <c r="E114" s="97"/>
      <c r="F114" s="97"/>
      <c r="G114" s="97"/>
      <c r="H114" s="97"/>
    </row>
    <row r="115" spans="1:8" x14ac:dyDescent="0.3">
      <c r="A115" s="57" t="str">
        <f>IF(C115&lt;&gt;"", COUNTA($C$20:C115), "")</f>
        <v/>
      </c>
      <c r="B115" s="95"/>
      <c r="C115" s="97"/>
      <c r="D115" s="97"/>
      <c r="E115" s="97"/>
      <c r="F115" s="97"/>
      <c r="G115" s="97"/>
      <c r="H115" s="97"/>
    </row>
    <row r="116" spans="1:8" x14ac:dyDescent="0.3">
      <c r="A116" s="57" t="str">
        <f>IF(C116&lt;&gt;"", COUNTA($C$20:C116), "")</f>
        <v/>
      </c>
      <c r="B116" s="95"/>
      <c r="C116" s="96"/>
      <c r="D116" s="96"/>
      <c r="E116" s="97"/>
      <c r="F116" s="97"/>
      <c r="G116" s="97"/>
      <c r="H116" s="97"/>
    </row>
    <row r="117" spans="1:8" x14ac:dyDescent="0.3">
      <c r="A117" s="57" t="str">
        <f>IF(C117&lt;&gt;"", COUNTA($C$20:C117), "")</f>
        <v/>
      </c>
      <c r="B117" s="95"/>
      <c r="C117" s="97"/>
      <c r="D117" s="97"/>
      <c r="E117" s="97"/>
      <c r="F117" s="97"/>
      <c r="G117" s="97"/>
      <c r="H117" s="97"/>
    </row>
    <row r="118" spans="1:8" x14ac:dyDescent="0.3">
      <c r="A118" s="57" t="str">
        <f>IF(C118&lt;&gt;"", COUNTA($C$20:C118), "")</f>
        <v/>
      </c>
      <c r="B118" s="95"/>
      <c r="C118" s="97"/>
      <c r="D118" s="97"/>
      <c r="E118" s="97"/>
      <c r="F118" s="97"/>
      <c r="G118" s="97"/>
      <c r="H118" s="97"/>
    </row>
    <row r="119" spans="1:8" x14ac:dyDescent="0.3">
      <c r="A119" s="57" t="str">
        <f>IF(C119&lt;&gt;"", COUNTA($C$20:C119), "")</f>
        <v/>
      </c>
      <c r="B119" s="95"/>
      <c r="C119" s="97"/>
      <c r="D119" s="97"/>
      <c r="E119" s="97"/>
      <c r="F119" s="97"/>
      <c r="G119" s="97"/>
      <c r="H119" s="97"/>
    </row>
    <row r="120" spans="1:8" x14ac:dyDescent="0.3">
      <c r="A120" s="57" t="str">
        <f>IF(C120&lt;&gt;"", COUNTA($C$20:C120), "")</f>
        <v/>
      </c>
      <c r="B120" s="95"/>
      <c r="C120" s="97"/>
      <c r="D120" s="97"/>
      <c r="E120" s="97"/>
      <c r="F120" s="97"/>
      <c r="G120" s="97"/>
      <c r="H120" s="97"/>
    </row>
    <row r="121" spans="1:8" x14ac:dyDescent="0.3">
      <c r="A121" s="57" t="str">
        <f>IF(C121&lt;&gt;"", COUNTA($C$20:C121), "")</f>
        <v/>
      </c>
      <c r="B121" s="95"/>
      <c r="C121" s="97"/>
      <c r="D121" s="97"/>
      <c r="E121" s="97"/>
      <c r="F121" s="97"/>
      <c r="G121" s="97"/>
      <c r="H121" s="97"/>
    </row>
    <row r="122" spans="1:8" x14ac:dyDescent="0.3">
      <c r="A122" s="57" t="str">
        <f>IF(C122&lt;&gt;"", COUNTA($C$20:C122), "")</f>
        <v/>
      </c>
      <c r="B122" s="95"/>
      <c r="C122" s="97"/>
      <c r="D122" s="97"/>
      <c r="E122" s="97"/>
      <c r="F122" s="97"/>
      <c r="G122" s="97"/>
      <c r="H122" s="97"/>
    </row>
    <row r="123" spans="1:8" x14ac:dyDescent="0.3">
      <c r="A123" s="57" t="str">
        <f>IF(C123&lt;&gt;"", COUNTA($C$20:C123), "")</f>
        <v/>
      </c>
      <c r="B123" s="95"/>
      <c r="C123" s="97"/>
      <c r="D123" s="97"/>
      <c r="E123" s="97"/>
      <c r="F123" s="97"/>
      <c r="G123" s="97"/>
      <c r="H123" s="97"/>
    </row>
    <row r="124" spans="1:8" x14ac:dyDescent="0.3">
      <c r="A124" s="57" t="str">
        <f>IF(C124&lt;&gt;"", COUNTA($C$20:C124), "")</f>
        <v/>
      </c>
      <c r="B124" s="95"/>
      <c r="C124" s="97"/>
      <c r="D124" s="97"/>
      <c r="E124" s="97"/>
      <c r="F124" s="97"/>
      <c r="G124" s="97"/>
      <c r="H124" s="97"/>
    </row>
    <row r="125" spans="1:8" x14ac:dyDescent="0.3">
      <c r="A125" s="57" t="str">
        <f>IF(C125&lt;&gt;"", COUNTA($C$20:C125), "")</f>
        <v/>
      </c>
      <c r="B125" s="95"/>
      <c r="C125" s="97"/>
      <c r="D125" s="97"/>
      <c r="E125" s="97"/>
      <c r="F125" s="97"/>
      <c r="G125" s="97"/>
      <c r="H125" s="97"/>
    </row>
    <row r="126" spans="1:8" x14ac:dyDescent="0.3">
      <c r="A126" s="57" t="str">
        <f>IF(C126&lt;&gt;"", COUNTA($C$20:C126), "")</f>
        <v/>
      </c>
      <c r="B126" s="95"/>
      <c r="C126" s="97"/>
      <c r="D126" s="97"/>
      <c r="E126" s="97"/>
      <c r="F126" s="97"/>
      <c r="G126" s="97"/>
      <c r="H126" s="97"/>
    </row>
    <row r="127" spans="1:8" x14ac:dyDescent="0.3">
      <c r="A127" s="57" t="str">
        <f>IF(C127&lt;&gt;"", COUNTA($C$20:C127), "")</f>
        <v/>
      </c>
      <c r="B127" s="95"/>
      <c r="C127" s="97"/>
      <c r="D127" s="97"/>
      <c r="E127" s="97"/>
      <c r="F127" s="97"/>
      <c r="G127" s="97"/>
      <c r="H127" s="97"/>
    </row>
    <row r="128" spans="1:8" x14ac:dyDescent="0.3">
      <c r="A128" s="57" t="str">
        <f>IF(C128&lt;&gt;"", COUNTA($C$20:C128), "")</f>
        <v/>
      </c>
      <c r="B128" s="95"/>
      <c r="C128" s="96"/>
      <c r="D128" s="96"/>
      <c r="E128" s="97"/>
      <c r="F128" s="97"/>
      <c r="G128" s="97"/>
      <c r="H128" s="97"/>
    </row>
    <row r="129" spans="1:8" x14ac:dyDescent="0.3">
      <c r="A129" s="57" t="str">
        <f>IF(C129&lt;&gt;"", COUNTA($C$20:C129), "")</f>
        <v/>
      </c>
      <c r="B129" s="95"/>
      <c r="C129" s="97"/>
      <c r="D129" s="97"/>
      <c r="E129" s="97"/>
      <c r="F129" s="97"/>
      <c r="G129" s="97"/>
      <c r="H129" s="97"/>
    </row>
    <row r="130" spans="1:8" x14ac:dyDescent="0.3">
      <c r="A130" s="57" t="str">
        <f>IF(C130&lt;&gt;"", COUNTA($C$20:C130), "")</f>
        <v/>
      </c>
      <c r="B130" s="95"/>
      <c r="C130" s="97"/>
      <c r="D130" s="97"/>
      <c r="E130" s="97"/>
      <c r="F130" s="97"/>
      <c r="G130" s="97"/>
      <c r="H130" s="97"/>
    </row>
    <row r="131" spans="1:8" x14ac:dyDescent="0.3">
      <c r="A131" s="57" t="str">
        <f>IF(C131&lt;&gt;"", COUNTA($C$20:C131), "")</f>
        <v/>
      </c>
      <c r="B131" s="95"/>
      <c r="C131" s="97"/>
      <c r="D131" s="97"/>
      <c r="E131" s="97"/>
      <c r="F131" s="97"/>
      <c r="G131" s="97"/>
      <c r="H131" s="97"/>
    </row>
    <row r="132" spans="1:8" x14ac:dyDescent="0.3">
      <c r="A132" s="57" t="str">
        <f>IF(C132&lt;&gt;"", COUNTA($C$20:C132), "")</f>
        <v/>
      </c>
      <c r="B132" s="95"/>
      <c r="C132" s="97"/>
      <c r="D132" s="97"/>
      <c r="E132" s="97"/>
      <c r="F132" s="97"/>
      <c r="G132" s="97"/>
      <c r="H132" s="97"/>
    </row>
    <row r="133" spans="1:8" x14ac:dyDescent="0.3">
      <c r="A133" s="57" t="str">
        <f>IF(C133&lt;&gt;"", COUNTA($C$20:C133), "")</f>
        <v/>
      </c>
      <c r="B133" s="95"/>
      <c r="C133" s="97"/>
      <c r="D133" s="97"/>
      <c r="E133" s="97"/>
      <c r="F133" s="97"/>
      <c r="G133" s="97"/>
      <c r="H133" s="97"/>
    </row>
    <row r="134" spans="1:8" x14ac:dyDescent="0.3">
      <c r="A134" s="57" t="str">
        <f>IF(C134&lt;&gt;"", COUNTA($C$20:C134), "")</f>
        <v/>
      </c>
      <c r="B134" s="95"/>
      <c r="C134" s="97"/>
      <c r="D134" s="97"/>
      <c r="E134" s="97"/>
      <c r="F134" s="97"/>
      <c r="G134" s="97"/>
      <c r="H134" s="97"/>
    </row>
    <row r="135" spans="1:8" x14ac:dyDescent="0.3">
      <c r="A135" s="57" t="str">
        <f>IF(C135&lt;&gt;"", COUNTA($C$20:C135), "")</f>
        <v/>
      </c>
      <c r="B135" s="95"/>
      <c r="C135" s="97"/>
      <c r="D135" s="97"/>
      <c r="E135" s="97"/>
      <c r="F135" s="97"/>
      <c r="G135" s="97"/>
      <c r="H135" s="97"/>
    </row>
    <row r="136" spans="1:8" x14ac:dyDescent="0.3">
      <c r="A136" s="57" t="str">
        <f>IF(C136&lt;&gt;"", COUNTA($C$20:C136), "")</f>
        <v/>
      </c>
      <c r="B136" s="95"/>
      <c r="C136" s="97"/>
      <c r="D136" s="97"/>
      <c r="E136" s="97"/>
      <c r="F136" s="97"/>
      <c r="G136" s="97"/>
      <c r="H136" s="97"/>
    </row>
    <row r="137" spans="1:8" x14ac:dyDescent="0.3">
      <c r="A137" s="57" t="str">
        <f>IF(C137&lt;&gt;"", COUNTA($C$20:C137), "")</f>
        <v/>
      </c>
      <c r="B137" s="95"/>
      <c r="C137" s="97"/>
      <c r="D137" s="97"/>
      <c r="E137" s="97"/>
      <c r="F137" s="97"/>
      <c r="G137" s="97"/>
      <c r="H137" s="97"/>
    </row>
    <row r="138" spans="1:8" x14ac:dyDescent="0.3">
      <c r="A138" s="57" t="str">
        <f>IF(C138&lt;&gt;"", COUNTA($C$20:C138), "")</f>
        <v/>
      </c>
      <c r="B138" s="95"/>
      <c r="C138" s="97"/>
      <c r="D138" s="97"/>
      <c r="E138" s="97"/>
      <c r="F138" s="97"/>
      <c r="G138" s="97"/>
      <c r="H138" s="97"/>
    </row>
    <row r="139" spans="1:8" x14ac:dyDescent="0.3">
      <c r="A139" s="57" t="str">
        <f>IF(C139&lt;&gt;"", COUNTA($C$20:C139), "")</f>
        <v/>
      </c>
      <c r="B139" s="95"/>
      <c r="C139" s="97"/>
      <c r="D139" s="97"/>
      <c r="E139" s="97"/>
      <c r="F139" s="97"/>
      <c r="G139" s="97"/>
      <c r="H139" s="97"/>
    </row>
    <row r="140" spans="1:8" x14ac:dyDescent="0.3">
      <c r="A140" s="57" t="str">
        <f>IF(C140&lt;&gt;"", COUNTA($C$20:C140), "")</f>
        <v/>
      </c>
      <c r="B140" s="95"/>
      <c r="C140" s="96"/>
      <c r="D140" s="96"/>
      <c r="E140" s="97"/>
      <c r="F140" s="97"/>
      <c r="G140" s="97"/>
      <c r="H140" s="97"/>
    </row>
    <row r="141" spans="1:8" x14ac:dyDescent="0.3">
      <c r="A141" s="57" t="str">
        <f>IF(C141&lt;&gt;"", COUNTA($C$20:C141), "")</f>
        <v/>
      </c>
      <c r="B141" s="95"/>
      <c r="C141" s="97"/>
      <c r="D141" s="97"/>
      <c r="E141" s="97"/>
      <c r="F141" s="97"/>
      <c r="G141" s="97"/>
      <c r="H141" s="97"/>
    </row>
    <row r="142" spans="1:8" x14ac:dyDescent="0.3">
      <c r="A142" s="57" t="str">
        <f>IF(C142&lt;&gt;"", COUNTA($C$20:C142), "")</f>
        <v/>
      </c>
      <c r="B142" s="95"/>
      <c r="C142" s="97"/>
      <c r="D142" s="97"/>
      <c r="E142" s="97"/>
      <c r="F142" s="97"/>
      <c r="G142" s="97"/>
      <c r="H142" s="97"/>
    </row>
    <row r="143" spans="1:8" x14ac:dyDescent="0.3">
      <c r="A143" s="57" t="str">
        <f>IF(C143&lt;&gt;"", COUNTA($C$20:C143), "")</f>
        <v/>
      </c>
      <c r="B143" s="95"/>
      <c r="C143" s="97"/>
      <c r="D143" s="97"/>
      <c r="E143" s="97"/>
      <c r="F143" s="97"/>
      <c r="G143" s="97"/>
      <c r="H143" s="97"/>
    </row>
    <row r="144" spans="1:8" x14ac:dyDescent="0.3">
      <c r="A144" s="57" t="str">
        <f>IF(C144&lt;&gt;"", COUNTA($C$20:C144), "")</f>
        <v/>
      </c>
      <c r="B144" s="95"/>
      <c r="C144" s="97"/>
      <c r="D144" s="97"/>
      <c r="E144" s="97"/>
      <c r="F144" s="97"/>
      <c r="G144" s="97"/>
      <c r="H144" s="97"/>
    </row>
    <row r="145" spans="1:8" x14ac:dyDescent="0.3">
      <c r="A145" s="57" t="str">
        <f>IF(C145&lt;&gt;"", COUNTA($C$20:C145), "")</f>
        <v/>
      </c>
      <c r="B145" s="95"/>
      <c r="C145" s="97"/>
      <c r="D145" s="97"/>
      <c r="E145" s="97"/>
      <c r="F145" s="97"/>
      <c r="G145" s="97"/>
      <c r="H145" s="97"/>
    </row>
    <row r="146" spans="1:8" x14ac:dyDescent="0.3">
      <c r="A146" s="57" t="str">
        <f>IF(C146&lt;&gt;"", COUNTA($C$20:C146), "")</f>
        <v/>
      </c>
      <c r="B146" s="95"/>
      <c r="C146" s="97"/>
      <c r="D146" s="97"/>
      <c r="E146" s="97"/>
      <c r="F146" s="97"/>
      <c r="G146" s="97"/>
      <c r="H146" s="97"/>
    </row>
    <row r="147" spans="1:8" x14ac:dyDescent="0.3">
      <c r="A147" s="57" t="str">
        <f>IF(C147&lt;&gt;"", COUNTA($C$20:C147), "")</f>
        <v/>
      </c>
      <c r="B147" s="95"/>
      <c r="C147" s="97"/>
      <c r="D147" s="97"/>
      <c r="E147" s="97"/>
      <c r="F147" s="97"/>
      <c r="G147" s="97"/>
      <c r="H147" s="97"/>
    </row>
    <row r="148" spans="1:8" x14ac:dyDescent="0.3">
      <c r="A148" s="57" t="str">
        <f>IF(C148&lt;&gt;"", COUNTA($C$20:C148), "")</f>
        <v/>
      </c>
      <c r="B148" s="95"/>
      <c r="C148" s="97"/>
      <c r="D148" s="97"/>
      <c r="E148" s="97"/>
      <c r="F148" s="97"/>
      <c r="G148" s="97"/>
      <c r="H148" s="97"/>
    </row>
    <row r="149" spans="1:8" x14ac:dyDescent="0.3">
      <c r="A149" s="57" t="str">
        <f>IF(C149&lt;&gt;"", COUNTA($C$20:C149), "")</f>
        <v/>
      </c>
      <c r="B149" s="95"/>
      <c r="C149" s="97"/>
      <c r="D149" s="97"/>
      <c r="E149" s="97"/>
      <c r="F149" s="97"/>
      <c r="G149" s="97"/>
      <c r="H149" s="97"/>
    </row>
    <row r="150" spans="1:8" x14ac:dyDescent="0.3">
      <c r="A150" s="57" t="str">
        <f>IF(C150&lt;&gt;"", COUNTA($C$20:C150), "")</f>
        <v/>
      </c>
      <c r="B150" s="95"/>
      <c r="C150" s="97"/>
      <c r="D150" s="97"/>
      <c r="E150" s="97"/>
      <c r="F150" s="97"/>
      <c r="G150" s="97"/>
      <c r="H150" s="97"/>
    </row>
    <row r="151" spans="1:8" x14ac:dyDescent="0.3">
      <c r="A151" s="57" t="str">
        <f>IF(C151&lt;&gt;"", COUNTA($C$20:C151), "")</f>
        <v/>
      </c>
      <c r="B151" s="95"/>
      <c r="C151" s="97"/>
      <c r="D151" s="97"/>
      <c r="E151" s="97"/>
      <c r="F151" s="97"/>
      <c r="G151" s="97"/>
      <c r="H151" s="97"/>
    </row>
    <row r="152" spans="1:8" x14ac:dyDescent="0.3">
      <c r="A152" s="57" t="str">
        <f>IF(C152&lt;&gt;"", COUNTA($C$20:C152), "")</f>
        <v/>
      </c>
      <c r="B152" s="95"/>
      <c r="C152" s="96"/>
      <c r="D152" s="96"/>
      <c r="E152" s="97"/>
      <c r="F152" s="97"/>
      <c r="G152" s="97"/>
      <c r="H152" s="97"/>
    </row>
    <row r="153" spans="1:8" x14ac:dyDescent="0.3">
      <c r="A153" s="57" t="str">
        <f>IF(C153&lt;&gt;"", COUNTA($C$20:C153), "")</f>
        <v/>
      </c>
      <c r="B153" s="95"/>
      <c r="C153" s="97"/>
      <c r="D153" s="97"/>
      <c r="E153" s="97"/>
      <c r="F153" s="97"/>
      <c r="G153" s="97"/>
      <c r="H153" s="97"/>
    </row>
    <row r="154" spans="1:8" x14ac:dyDescent="0.3">
      <c r="A154" s="57" t="str">
        <f>IF(C154&lt;&gt;"", COUNTA($C$20:C154), "")</f>
        <v/>
      </c>
      <c r="B154" s="95"/>
      <c r="C154" s="97"/>
      <c r="D154" s="97"/>
      <c r="E154" s="97"/>
      <c r="F154" s="97"/>
      <c r="G154" s="97"/>
      <c r="H154" s="97"/>
    </row>
    <row r="155" spans="1:8" x14ac:dyDescent="0.3">
      <c r="A155" s="57" t="str">
        <f>IF(C155&lt;&gt;"", COUNTA($C$20:C155), "")</f>
        <v/>
      </c>
      <c r="B155" s="95"/>
      <c r="C155" s="97"/>
      <c r="D155" s="97"/>
      <c r="E155" s="97"/>
      <c r="F155" s="97"/>
      <c r="G155" s="97"/>
      <c r="H155" s="97"/>
    </row>
    <row r="156" spans="1:8" x14ac:dyDescent="0.3">
      <c r="A156" s="57" t="str">
        <f>IF(C156&lt;&gt;"", COUNTA($C$20:C156), "")</f>
        <v/>
      </c>
      <c r="B156" s="95"/>
      <c r="C156" s="97"/>
      <c r="D156" s="97"/>
      <c r="E156" s="97"/>
      <c r="F156" s="97"/>
      <c r="G156" s="97"/>
      <c r="H156" s="97"/>
    </row>
    <row r="157" spans="1:8" x14ac:dyDescent="0.3">
      <c r="A157" s="57" t="str">
        <f>IF(C157&lt;&gt;"", COUNTA($C$20:C157), "")</f>
        <v/>
      </c>
      <c r="B157" s="95"/>
      <c r="C157" s="97"/>
      <c r="D157" s="97"/>
      <c r="E157" s="97"/>
      <c r="F157" s="97"/>
      <c r="G157" s="97"/>
      <c r="H157" s="97"/>
    </row>
    <row r="158" spans="1:8" x14ac:dyDescent="0.3">
      <c r="A158" s="57" t="str">
        <f>IF(C158&lt;&gt;"", COUNTA($C$20:C158), "")</f>
        <v/>
      </c>
      <c r="B158" s="95"/>
      <c r="C158" s="97"/>
      <c r="D158" s="97"/>
      <c r="E158" s="97"/>
      <c r="F158" s="97"/>
      <c r="G158" s="97"/>
      <c r="H158" s="97"/>
    </row>
    <row r="159" spans="1:8" x14ac:dyDescent="0.3">
      <c r="A159" s="57" t="str">
        <f>IF(C159&lt;&gt;"", COUNTA($C$20:C159), "")</f>
        <v/>
      </c>
      <c r="B159" s="95"/>
      <c r="C159" s="97"/>
      <c r="D159" s="97"/>
      <c r="E159" s="97"/>
      <c r="F159" s="97"/>
      <c r="G159" s="97"/>
      <c r="H159" s="97"/>
    </row>
    <row r="160" spans="1:8" x14ac:dyDescent="0.3">
      <c r="A160" s="57" t="str">
        <f>IF(C160&lt;&gt;"", COUNTA($C$20:C160), "")</f>
        <v/>
      </c>
      <c r="B160" s="95"/>
      <c r="C160" s="97"/>
      <c r="D160" s="97"/>
      <c r="E160" s="97"/>
      <c r="F160" s="97"/>
      <c r="G160" s="97"/>
      <c r="H160" s="97"/>
    </row>
    <row r="161" spans="1:8" x14ac:dyDescent="0.3">
      <c r="A161" s="57" t="str">
        <f>IF(C161&lt;&gt;"", COUNTA($C$20:C161), "")</f>
        <v/>
      </c>
      <c r="B161" s="95"/>
      <c r="C161" s="97"/>
      <c r="D161" s="97"/>
      <c r="E161" s="97"/>
      <c r="F161" s="97"/>
      <c r="G161" s="97"/>
      <c r="H161" s="97"/>
    </row>
    <row r="162" spans="1:8" x14ac:dyDescent="0.3">
      <c r="A162" s="57" t="str">
        <f>IF(C162&lt;&gt;"", COUNTA($C$20:C162), "")</f>
        <v/>
      </c>
      <c r="B162" s="95"/>
      <c r="C162" s="97"/>
      <c r="D162" s="97"/>
      <c r="E162" s="97"/>
      <c r="F162" s="97"/>
      <c r="G162" s="97"/>
      <c r="H162" s="97"/>
    </row>
    <row r="163" spans="1:8" x14ac:dyDescent="0.3">
      <c r="A163" s="57" t="str">
        <f>IF(C163&lt;&gt;"", COUNTA($C$20:C163), "")</f>
        <v/>
      </c>
      <c r="B163" s="95"/>
      <c r="C163" s="97"/>
      <c r="D163" s="97"/>
      <c r="E163" s="97"/>
      <c r="F163" s="97"/>
      <c r="G163" s="97"/>
      <c r="H163" s="97"/>
    </row>
    <row r="164" spans="1:8" x14ac:dyDescent="0.3">
      <c r="A164" s="57" t="str">
        <f>IF(C164&lt;&gt;"", COUNTA($C$20:C164), "")</f>
        <v/>
      </c>
      <c r="B164" s="95"/>
      <c r="C164" s="96"/>
      <c r="D164" s="96"/>
      <c r="E164" s="97"/>
      <c r="F164" s="97"/>
      <c r="G164" s="97"/>
      <c r="H164" s="97"/>
    </row>
    <row r="165" spans="1:8" x14ac:dyDescent="0.3">
      <c r="A165" s="57" t="str">
        <f>IF(C165&lt;&gt;"", COUNTA($C$20:C165), "")</f>
        <v/>
      </c>
      <c r="B165" s="95"/>
      <c r="C165" s="97"/>
      <c r="D165" s="97"/>
      <c r="E165" s="97"/>
      <c r="F165" s="97"/>
      <c r="G165" s="97"/>
      <c r="H165" s="97"/>
    </row>
    <row r="166" spans="1:8" x14ac:dyDescent="0.3">
      <c r="A166" s="57" t="str">
        <f>IF(C166&lt;&gt;"", COUNTA($C$20:C166), "")</f>
        <v/>
      </c>
      <c r="B166" s="95"/>
      <c r="C166" s="97"/>
      <c r="D166" s="97"/>
      <c r="E166" s="97"/>
      <c r="F166" s="97"/>
      <c r="G166" s="97"/>
      <c r="H166" s="97"/>
    </row>
    <row r="167" spans="1:8" x14ac:dyDescent="0.3">
      <c r="A167" s="57" t="str">
        <f>IF(C167&lt;&gt;"", COUNTA($C$20:C167), "")</f>
        <v/>
      </c>
      <c r="B167" s="95"/>
      <c r="C167" s="97"/>
      <c r="D167" s="97"/>
      <c r="E167" s="97"/>
      <c r="F167" s="97"/>
      <c r="G167" s="97"/>
      <c r="H167" s="97"/>
    </row>
    <row r="168" spans="1:8" x14ac:dyDescent="0.3">
      <c r="A168" s="57" t="str">
        <f>IF(C168&lt;&gt;"", COUNTA($C$20:C168), "")</f>
        <v/>
      </c>
      <c r="B168" s="95"/>
      <c r="C168" s="97"/>
      <c r="D168" s="97"/>
      <c r="E168" s="97"/>
      <c r="F168" s="97"/>
      <c r="G168" s="97"/>
      <c r="H168" s="97"/>
    </row>
    <row r="169" spans="1:8" x14ac:dyDescent="0.3">
      <c r="A169" s="57" t="str">
        <f>IF(C169&lt;&gt;"", COUNTA($C$20:C169), "")</f>
        <v/>
      </c>
      <c r="B169" s="95"/>
      <c r="C169" s="97"/>
      <c r="D169" s="97"/>
      <c r="E169" s="97"/>
      <c r="F169" s="97"/>
      <c r="G169" s="97"/>
      <c r="H169" s="97"/>
    </row>
    <row r="170" spans="1:8" x14ac:dyDescent="0.3">
      <c r="A170" s="57" t="str">
        <f>IF(C170&lt;&gt;"", COUNTA($C$20:C170), "")</f>
        <v/>
      </c>
      <c r="B170" s="95"/>
      <c r="C170" s="97"/>
      <c r="D170" s="97"/>
      <c r="E170" s="97"/>
      <c r="F170" s="97"/>
      <c r="G170" s="97"/>
      <c r="H170" s="97"/>
    </row>
    <row r="171" spans="1:8" x14ac:dyDescent="0.3">
      <c r="A171" s="57" t="str">
        <f>IF(C171&lt;&gt;"", COUNTA($C$20:C171), "")</f>
        <v/>
      </c>
      <c r="B171" s="95"/>
      <c r="C171" s="97"/>
      <c r="D171" s="97"/>
      <c r="E171" s="97"/>
      <c r="F171" s="97"/>
      <c r="G171" s="97"/>
      <c r="H171" s="97"/>
    </row>
    <row r="172" spans="1:8" x14ac:dyDescent="0.3">
      <c r="A172" s="57" t="str">
        <f>IF(C172&lt;&gt;"", COUNTA($C$20:C172), "")</f>
        <v/>
      </c>
      <c r="B172" s="95"/>
      <c r="C172" s="97"/>
      <c r="D172" s="97"/>
      <c r="E172" s="97"/>
      <c r="F172" s="97"/>
      <c r="G172" s="97"/>
      <c r="H172" s="97"/>
    </row>
    <row r="173" spans="1:8" x14ac:dyDescent="0.3">
      <c r="A173" s="57" t="str">
        <f>IF(C173&lt;&gt;"", COUNTA($C$20:C173), "")</f>
        <v/>
      </c>
      <c r="B173" s="95"/>
      <c r="C173" s="97"/>
      <c r="D173" s="97"/>
      <c r="E173" s="97"/>
      <c r="F173" s="97"/>
      <c r="G173" s="97"/>
      <c r="H173" s="97"/>
    </row>
    <row r="174" spans="1:8" x14ac:dyDescent="0.3">
      <c r="A174" s="57" t="str">
        <f>IF(C174&lt;&gt;"", COUNTA($C$20:C174), "")</f>
        <v/>
      </c>
      <c r="B174" s="95"/>
      <c r="C174" s="97"/>
      <c r="D174" s="97"/>
      <c r="E174" s="97"/>
      <c r="F174" s="97"/>
      <c r="G174" s="97"/>
      <c r="H174" s="97"/>
    </row>
    <row r="175" spans="1:8" x14ac:dyDescent="0.3">
      <c r="A175" s="57" t="str">
        <f>IF(C175&lt;&gt;"", COUNTA($C$20:C175), "")</f>
        <v/>
      </c>
      <c r="B175" s="95"/>
      <c r="C175" s="97"/>
      <c r="D175" s="97"/>
      <c r="E175" s="97"/>
      <c r="F175" s="97"/>
      <c r="G175" s="97"/>
      <c r="H175" s="97"/>
    </row>
    <row r="176" spans="1:8" x14ac:dyDescent="0.3">
      <c r="A176" s="57" t="str">
        <f>IF(C176&lt;&gt;"", COUNTA($C$20:C176), "")</f>
        <v/>
      </c>
      <c r="B176" s="95"/>
      <c r="C176" s="96"/>
      <c r="D176" s="96"/>
      <c r="E176" s="97"/>
      <c r="F176" s="97"/>
      <c r="G176" s="97"/>
      <c r="H176" s="97"/>
    </row>
    <row r="177" spans="1:8" x14ac:dyDescent="0.3">
      <c r="A177" s="57" t="str">
        <f>IF(C177&lt;&gt;"", COUNTA($C$20:C177), "")</f>
        <v/>
      </c>
      <c r="B177" s="95"/>
      <c r="C177" s="97"/>
      <c r="D177" s="97"/>
      <c r="E177" s="97"/>
      <c r="F177" s="97"/>
      <c r="G177" s="97"/>
      <c r="H177" s="97"/>
    </row>
    <row r="178" spans="1:8" x14ac:dyDescent="0.3">
      <c r="A178" s="57" t="str">
        <f>IF(C178&lt;&gt;"", COUNTA($C$20:C178), "")</f>
        <v/>
      </c>
      <c r="B178" s="95"/>
      <c r="C178" s="97"/>
      <c r="D178" s="97"/>
      <c r="E178" s="97"/>
      <c r="F178" s="97"/>
      <c r="G178" s="97"/>
      <c r="H178" s="97"/>
    </row>
    <row r="179" spans="1:8" x14ac:dyDescent="0.3">
      <c r="A179" s="57" t="str">
        <f>IF(C179&lt;&gt;"", COUNTA($C$20:C179), "")</f>
        <v/>
      </c>
      <c r="B179" s="95"/>
      <c r="C179" s="97"/>
      <c r="D179" s="97"/>
      <c r="E179" s="97"/>
      <c r="F179" s="97"/>
      <c r="G179" s="97"/>
      <c r="H179" s="97"/>
    </row>
    <row r="180" spans="1:8" x14ac:dyDescent="0.3">
      <c r="A180" s="57" t="str">
        <f>IF(C180&lt;&gt;"", COUNTA($C$20:C180), "")</f>
        <v/>
      </c>
      <c r="B180" s="95"/>
      <c r="C180" s="97"/>
      <c r="D180" s="97"/>
      <c r="E180" s="97"/>
      <c r="F180" s="97"/>
      <c r="G180" s="97"/>
      <c r="H180" s="97"/>
    </row>
    <row r="181" spans="1:8" x14ac:dyDescent="0.3">
      <c r="A181" s="57" t="str">
        <f>IF(C181&lt;&gt;"", COUNTA($C$20:C181), "")</f>
        <v/>
      </c>
      <c r="B181" s="95"/>
      <c r="C181" s="97"/>
      <c r="D181" s="97"/>
      <c r="E181" s="97"/>
      <c r="F181" s="97"/>
      <c r="G181" s="97"/>
      <c r="H181" s="97"/>
    </row>
    <row r="182" spans="1:8" x14ac:dyDescent="0.3">
      <c r="A182" s="57" t="str">
        <f>IF(C182&lt;&gt;"", COUNTA($C$20:C182), "")</f>
        <v/>
      </c>
      <c r="B182" s="95"/>
      <c r="C182" s="97"/>
      <c r="D182" s="97"/>
      <c r="E182" s="97"/>
      <c r="F182" s="97"/>
      <c r="G182" s="97"/>
      <c r="H182" s="97"/>
    </row>
    <row r="183" spans="1:8" x14ac:dyDescent="0.3">
      <c r="A183" s="57" t="str">
        <f>IF(C183&lt;&gt;"", COUNTA($C$20:C183), "")</f>
        <v/>
      </c>
      <c r="B183" s="95"/>
      <c r="C183" s="97"/>
      <c r="D183" s="97"/>
      <c r="E183" s="97"/>
      <c r="F183" s="97"/>
      <c r="G183" s="97"/>
      <c r="H183" s="97"/>
    </row>
    <row r="184" spans="1:8" x14ac:dyDescent="0.3">
      <c r="A184" s="57" t="str">
        <f>IF(C184&lt;&gt;"", COUNTA($C$20:C184), "")</f>
        <v/>
      </c>
      <c r="B184" s="95"/>
      <c r="C184" s="97"/>
      <c r="D184" s="97"/>
      <c r="E184" s="97"/>
      <c r="F184" s="97"/>
      <c r="G184" s="97"/>
      <c r="H184" s="97"/>
    </row>
    <row r="185" spans="1:8" x14ac:dyDescent="0.3">
      <c r="A185" s="57" t="str">
        <f>IF(C185&lt;&gt;"", COUNTA($C$20:C185), "")</f>
        <v/>
      </c>
      <c r="B185" s="95"/>
      <c r="C185" s="97"/>
      <c r="D185" s="97"/>
      <c r="E185" s="97"/>
      <c r="F185" s="97"/>
      <c r="G185" s="97"/>
      <c r="H185" s="97"/>
    </row>
    <row r="186" spans="1:8" x14ac:dyDescent="0.3">
      <c r="A186" s="57" t="str">
        <f>IF(C186&lt;&gt;"", COUNTA($C$20:C186), "")</f>
        <v/>
      </c>
      <c r="B186" s="95"/>
      <c r="C186" s="97"/>
      <c r="D186" s="97"/>
      <c r="E186" s="97"/>
      <c r="F186" s="97"/>
      <c r="G186" s="97"/>
      <c r="H186" s="97"/>
    </row>
    <row r="187" spans="1:8" x14ac:dyDescent="0.3">
      <c r="A187" s="57" t="str">
        <f>IF(C187&lt;&gt;"", COUNTA($C$20:C187), "")</f>
        <v/>
      </c>
      <c r="B187" s="95"/>
      <c r="C187" s="97"/>
      <c r="D187" s="97"/>
      <c r="E187" s="97"/>
      <c r="F187" s="97"/>
      <c r="G187" s="97"/>
      <c r="H187" s="97"/>
    </row>
    <row r="188" spans="1:8" x14ac:dyDescent="0.3">
      <c r="A188" s="57" t="str">
        <f>IF(C188&lt;&gt;"", COUNTA($C$20:C188), "")</f>
        <v/>
      </c>
      <c r="B188" s="95"/>
      <c r="C188" s="96"/>
      <c r="D188" s="96"/>
      <c r="E188" s="97"/>
      <c r="F188" s="97"/>
      <c r="G188" s="97"/>
      <c r="H188" s="97"/>
    </row>
    <row r="189" spans="1:8" x14ac:dyDescent="0.3">
      <c r="A189" s="57" t="str">
        <f>IF(C189&lt;&gt;"", COUNTA($C$20:C189), "")</f>
        <v/>
      </c>
      <c r="B189" s="95"/>
      <c r="C189" s="97"/>
      <c r="D189" s="97"/>
      <c r="E189" s="97"/>
      <c r="F189" s="97"/>
      <c r="G189" s="97"/>
      <c r="H189" s="97"/>
    </row>
    <row r="190" spans="1:8" x14ac:dyDescent="0.3">
      <c r="A190" s="57" t="str">
        <f>IF(C190&lt;&gt;"", COUNTA($C$20:C190), "")</f>
        <v/>
      </c>
      <c r="B190" s="95"/>
      <c r="C190" s="97"/>
      <c r="D190" s="97"/>
      <c r="E190" s="97"/>
      <c r="F190" s="97"/>
      <c r="G190" s="97"/>
      <c r="H190" s="97"/>
    </row>
    <row r="191" spans="1:8" x14ac:dyDescent="0.3">
      <c r="A191" s="57" t="str">
        <f>IF(C191&lt;&gt;"", COUNTA($C$20:C191), "")</f>
        <v/>
      </c>
      <c r="B191" s="95"/>
      <c r="C191" s="97"/>
      <c r="D191" s="97"/>
      <c r="E191" s="97"/>
      <c r="F191" s="97"/>
      <c r="G191" s="97"/>
      <c r="H191" s="97"/>
    </row>
    <row r="192" spans="1:8" x14ac:dyDescent="0.3">
      <c r="A192" s="57" t="str">
        <f>IF(C192&lt;&gt;"", COUNTA($C$20:C192), "")</f>
        <v/>
      </c>
      <c r="B192" s="95"/>
      <c r="C192" s="97"/>
      <c r="D192" s="97"/>
      <c r="E192" s="97"/>
      <c r="F192" s="97"/>
      <c r="G192" s="97"/>
      <c r="H192" s="97"/>
    </row>
    <row r="193" spans="1:8" x14ac:dyDescent="0.3">
      <c r="A193" s="57" t="str">
        <f>IF(C193&lt;&gt;"", COUNTA($C$20:C193), "")</f>
        <v/>
      </c>
      <c r="B193" s="95"/>
      <c r="C193" s="97"/>
      <c r="D193" s="97"/>
      <c r="E193" s="97"/>
      <c r="F193" s="97"/>
      <c r="G193" s="97"/>
      <c r="H193" s="97"/>
    </row>
    <row r="194" spans="1:8" x14ac:dyDescent="0.3">
      <c r="A194" s="57" t="str">
        <f>IF(C194&lt;&gt;"", COUNTA($C$20:C194), "")</f>
        <v/>
      </c>
      <c r="B194" s="95"/>
      <c r="C194" s="97"/>
      <c r="D194" s="97"/>
      <c r="E194" s="97"/>
      <c r="F194" s="97"/>
      <c r="G194" s="97"/>
      <c r="H194" s="97"/>
    </row>
    <row r="195" spans="1:8" x14ac:dyDescent="0.3">
      <c r="A195" s="57" t="str">
        <f>IF(C195&lt;&gt;"", COUNTA($C$20:C195), "")</f>
        <v/>
      </c>
      <c r="B195" s="95"/>
      <c r="C195" s="97"/>
      <c r="D195" s="97"/>
      <c r="E195" s="97"/>
      <c r="F195" s="97"/>
      <c r="G195" s="97"/>
      <c r="H195" s="97"/>
    </row>
    <row r="196" spans="1:8" x14ac:dyDescent="0.3">
      <c r="A196" s="57" t="str">
        <f>IF(C196&lt;&gt;"", COUNTA($C$20:C196), "")</f>
        <v/>
      </c>
      <c r="B196" s="95"/>
      <c r="C196" s="97"/>
      <c r="D196" s="97"/>
      <c r="E196" s="97"/>
      <c r="F196" s="97"/>
      <c r="G196" s="97"/>
      <c r="H196" s="97"/>
    </row>
    <row r="197" spans="1:8" x14ac:dyDescent="0.3">
      <c r="A197" s="57" t="str">
        <f>IF(C197&lt;&gt;"", COUNTA($C$20:C197), "")</f>
        <v/>
      </c>
      <c r="B197" s="95"/>
      <c r="C197" s="97"/>
      <c r="D197" s="97"/>
      <c r="E197" s="97"/>
      <c r="F197" s="97"/>
      <c r="G197" s="97"/>
      <c r="H197" s="97"/>
    </row>
    <row r="198" spans="1:8" x14ac:dyDescent="0.3">
      <c r="A198" s="57" t="str">
        <f>IF(C198&lt;&gt;"", COUNTA($C$20:C198), "")</f>
        <v/>
      </c>
      <c r="B198" s="95"/>
      <c r="C198" s="97"/>
      <c r="D198" s="97"/>
      <c r="E198" s="97"/>
      <c r="F198" s="97"/>
      <c r="G198" s="97"/>
      <c r="H198" s="97"/>
    </row>
    <row r="199" spans="1:8" x14ac:dyDescent="0.3">
      <c r="A199" s="57" t="str">
        <f>IF(C199&lt;&gt;"", COUNTA($C$20:C199), "")</f>
        <v/>
      </c>
      <c r="B199" s="95"/>
      <c r="C199" s="97"/>
      <c r="D199" s="97"/>
      <c r="E199" s="97"/>
      <c r="F199" s="97"/>
      <c r="G199" s="97"/>
      <c r="H199" s="97"/>
    </row>
    <row r="200" spans="1:8" x14ac:dyDescent="0.3">
      <c r="A200" s="57" t="str">
        <f>IF(C200&lt;&gt;"", COUNTA($C$20:C200), "")</f>
        <v/>
      </c>
      <c r="B200" s="95"/>
      <c r="C200" s="96"/>
      <c r="D200" s="96"/>
      <c r="E200" s="97"/>
      <c r="F200" s="97"/>
      <c r="G200" s="97"/>
      <c r="H200" s="97"/>
    </row>
    <row r="201" spans="1:8" x14ac:dyDescent="0.3">
      <c r="A201" s="57" t="str">
        <f>IF(C201&lt;&gt;"", COUNTA($C$20:C201), "")</f>
        <v/>
      </c>
      <c r="B201" s="95"/>
      <c r="C201" s="97"/>
      <c r="D201" s="97"/>
      <c r="E201" s="97"/>
      <c r="F201" s="97"/>
      <c r="G201" s="97"/>
      <c r="H201" s="97"/>
    </row>
    <row r="202" spans="1:8" x14ac:dyDescent="0.3">
      <c r="A202" s="57" t="str">
        <f>IF(C202&lt;&gt;"", COUNTA($C$20:C202), "")</f>
        <v/>
      </c>
      <c r="B202" s="95"/>
      <c r="C202" s="97"/>
      <c r="D202" s="97"/>
      <c r="E202" s="97"/>
      <c r="F202" s="97"/>
      <c r="G202" s="97"/>
      <c r="H202" s="97"/>
    </row>
    <row r="203" spans="1:8" x14ac:dyDescent="0.3">
      <c r="A203" s="57" t="str">
        <f>IF(C203&lt;&gt;"", COUNTA($C$20:C203), "")</f>
        <v/>
      </c>
      <c r="B203" s="95"/>
      <c r="C203" s="97"/>
      <c r="D203" s="97"/>
      <c r="E203" s="97"/>
      <c r="F203" s="97"/>
      <c r="G203" s="97"/>
      <c r="H203" s="97"/>
    </row>
    <row r="204" spans="1:8" x14ac:dyDescent="0.3">
      <c r="A204" s="57" t="str">
        <f>IF(C204&lt;&gt;"", COUNTA($C$20:C204), "")</f>
        <v/>
      </c>
      <c r="B204" s="95"/>
      <c r="C204" s="97"/>
      <c r="D204" s="97"/>
      <c r="E204" s="97"/>
      <c r="F204" s="97"/>
      <c r="G204" s="97"/>
      <c r="H204" s="97"/>
    </row>
    <row r="205" spans="1:8" x14ac:dyDescent="0.3">
      <c r="A205" s="57" t="str">
        <f>IF(C205&lt;&gt;"", COUNTA($C$20:C205), "")</f>
        <v/>
      </c>
      <c r="B205" s="95"/>
      <c r="C205" s="97"/>
      <c r="D205" s="97"/>
      <c r="E205" s="97"/>
      <c r="F205" s="97"/>
      <c r="G205" s="97"/>
      <c r="H205" s="97"/>
    </row>
    <row r="206" spans="1:8" x14ac:dyDescent="0.3">
      <c r="A206" s="57" t="str">
        <f>IF(C206&lt;&gt;"", COUNTA($C$20:C206), "")</f>
        <v/>
      </c>
      <c r="B206" s="95"/>
      <c r="C206" s="97"/>
      <c r="D206" s="97"/>
      <c r="E206" s="97"/>
      <c r="F206" s="97"/>
      <c r="G206" s="97"/>
      <c r="H206" s="97"/>
    </row>
    <row r="207" spans="1:8" x14ac:dyDescent="0.3">
      <c r="A207" s="57" t="str">
        <f>IF(C207&lt;&gt;"", COUNTA($C$20:C207), "")</f>
        <v/>
      </c>
      <c r="B207" s="95"/>
      <c r="C207" s="97"/>
      <c r="D207" s="97"/>
      <c r="E207" s="97"/>
      <c r="F207" s="97"/>
      <c r="G207" s="97"/>
      <c r="H207" s="97"/>
    </row>
    <row r="208" spans="1:8" x14ac:dyDescent="0.3">
      <c r="A208" s="57" t="str">
        <f>IF(C208&lt;&gt;"", COUNTA($C$20:C208), "")</f>
        <v/>
      </c>
      <c r="B208" s="95"/>
      <c r="C208" s="97"/>
      <c r="D208" s="97"/>
      <c r="E208" s="97"/>
      <c r="F208" s="97"/>
      <c r="G208" s="97"/>
      <c r="H208" s="97"/>
    </row>
    <row r="209" spans="1:8" x14ac:dyDescent="0.3">
      <c r="A209" s="57" t="str">
        <f>IF(C209&lt;&gt;"", COUNTA($C$20:C209), "")</f>
        <v/>
      </c>
      <c r="B209" s="95"/>
      <c r="C209" s="97"/>
      <c r="D209" s="97"/>
      <c r="E209" s="97"/>
      <c r="F209" s="97"/>
      <c r="G209" s="97"/>
      <c r="H209" s="97"/>
    </row>
    <row r="210" spans="1:8" x14ac:dyDescent="0.3">
      <c r="A210" s="57" t="str">
        <f>IF(C210&lt;&gt;"", COUNTA($C$20:C210), "")</f>
        <v/>
      </c>
      <c r="B210" s="95"/>
      <c r="C210" s="97"/>
      <c r="D210" s="97"/>
      <c r="E210" s="97"/>
      <c r="F210" s="97"/>
      <c r="G210" s="97"/>
      <c r="H210" s="97"/>
    </row>
    <row r="211" spans="1:8" x14ac:dyDescent="0.3">
      <c r="A211" s="57" t="str">
        <f>IF(C211&lt;&gt;"", COUNTA($C$20:C211), "")</f>
        <v/>
      </c>
      <c r="B211" s="95"/>
      <c r="C211" s="97"/>
      <c r="D211" s="97"/>
      <c r="E211" s="97"/>
      <c r="F211" s="97"/>
      <c r="G211" s="97"/>
      <c r="H211" s="97"/>
    </row>
    <row r="212" spans="1:8" x14ac:dyDescent="0.3">
      <c r="A212" s="57" t="str">
        <f>IF(C212&lt;&gt;"", COUNTA($C$20:C212), "")</f>
        <v/>
      </c>
      <c r="B212" s="95"/>
      <c r="C212" s="96"/>
      <c r="D212" s="96"/>
      <c r="E212" s="97"/>
      <c r="F212" s="97"/>
      <c r="G212" s="97"/>
      <c r="H212" s="97"/>
    </row>
    <row r="213" spans="1:8" x14ac:dyDescent="0.3">
      <c r="A213" s="57" t="str">
        <f>IF(C213&lt;&gt;"", COUNTA($C$20:C213), "")</f>
        <v/>
      </c>
      <c r="B213" s="95"/>
      <c r="C213" s="97"/>
      <c r="D213" s="97"/>
      <c r="E213" s="97"/>
      <c r="F213" s="97"/>
      <c r="G213" s="97"/>
      <c r="H213" s="97"/>
    </row>
    <row r="214" spans="1:8" x14ac:dyDescent="0.3">
      <c r="A214" s="57" t="str">
        <f>IF(C214&lt;&gt;"", COUNTA($C$20:C214), "")</f>
        <v/>
      </c>
      <c r="B214" s="95"/>
      <c r="C214" s="97"/>
      <c r="D214" s="97"/>
      <c r="E214" s="97"/>
      <c r="F214" s="97"/>
      <c r="G214" s="97"/>
      <c r="H214" s="97"/>
    </row>
    <row r="215" spans="1:8" x14ac:dyDescent="0.3">
      <c r="A215" s="57" t="str">
        <f>IF(C215&lt;&gt;"", COUNTA($C$20:C215), "")</f>
        <v/>
      </c>
      <c r="B215" s="95"/>
      <c r="C215" s="97"/>
      <c r="D215" s="97"/>
      <c r="E215" s="97"/>
      <c r="F215" s="97"/>
      <c r="G215" s="97"/>
      <c r="H215" s="97"/>
    </row>
    <row r="216" spans="1:8" x14ac:dyDescent="0.3">
      <c r="A216" s="57" t="str">
        <f>IF(C216&lt;&gt;"", COUNTA($C$20:C216), "")</f>
        <v/>
      </c>
      <c r="B216" s="95"/>
      <c r="C216" s="97"/>
      <c r="D216" s="97"/>
      <c r="E216" s="97"/>
      <c r="F216" s="97"/>
      <c r="G216" s="97"/>
      <c r="H216" s="97"/>
    </row>
    <row r="217" spans="1:8" x14ac:dyDescent="0.3">
      <c r="A217" s="57" t="str">
        <f>IF(C217&lt;&gt;"", COUNTA($C$20:C217), "")</f>
        <v/>
      </c>
      <c r="B217" s="95"/>
      <c r="C217" s="97"/>
      <c r="D217" s="97"/>
      <c r="E217" s="97"/>
      <c r="F217" s="97"/>
      <c r="G217" s="97"/>
      <c r="H217" s="97"/>
    </row>
    <row r="218" spans="1:8" x14ac:dyDescent="0.3">
      <c r="A218" s="57" t="str">
        <f>IF(C218&lt;&gt;"", COUNTA($C$20:C218), "")</f>
        <v/>
      </c>
      <c r="B218" s="95"/>
      <c r="C218" s="97"/>
      <c r="D218" s="97"/>
      <c r="E218" s="97"/>
      <c r="F218" s="97"/>
      <c r="G218" s="97"/>
      <c r="H218" s="97"/>
    </row>
    <row r="219" spans="1:8" x14ac:dyDescent="0.3">
      <c r="A219" s="57" t="str">
        <f>IF(C219&lt;&gt;"", COUNTA($C$20:C219), "")</f>
        <v/>
      </c>
      <c r="B219" s="95"/>
      <c r="C219" s="97"/>
      <c r="D219" s="97"/>
      <c r="E219" s="97"/>
      <c r="F219" s="97"/>
      <c r="G219" s="97"/>
      <c r="H219" s="97"/>
    </row>
    <row r="220" spans="1:8" x14ac:dyDescent="0.3">
      <c r="A220" s="57" t="str">
        <f>IF(C220&lt;&gt;"", COUNTA($C$20:C220), "")</f>
        <v/>
      </c>
      <c r="B220" s="95"/>
      <c r="C220" s="97"/>
      <c r="D220" s="97"/>
      <c r="E220" s="97"/>
      <c r="F220" s="97"/>
      <c r="G220" s="97"/>
      <c r="H220" s="97"/>
    </row>
    <row r="221" spans="1:8" x14ac:dyDescent="0.3">
      <c r="A221" s="57" t="str">
        <f>IF(C221&lt;&gt;"", COUNTA($C$20:C221), "")</f>
        <v/>
      </c>
      <c r="B221" s="95"/>
      <c r="C221" s="97"/>
      <c r="D221" s="97"/>
      <c r="E221" s="97"/>
      <c r="F221" s="97"/>
      <c r="G221" s="97"/>
      <c r="H221" s="97"/>
    </row>
    <row r="222" spans="1:8" x14ac:dyDescent="0.3">
      <c r="A222" s="57" t="str">
        <f>IF(C222&lt;&gt;"", COUNTA($C$20:C222), "")</f>
        <v/>
      </c>
      <c r="B222" s="95"/>
      <c r="C222" s="97"/>
      <c r="D222" s="97"/>
      <c r="E222" s="97"/>
      <c r="F222" s="97"/>
      <c r="G222" s="97"/>
      <c r="H222" s="97"/>
    </row>
    <row r="223" spans="1:8" x14ac:dyDescent="0.3">
      <c r="A223" s="57" t="str">
        <f>IF(C223&lt;&gt;"", COUNTA($C$20:C223), "")</f>
        <v/>
      </c>
      <c r="B223" s="95"/>
      <c r="C223" s="97"/>
      <c r="D223" s="97"/>
      <c r="E223" s="97"/>
      <c r="F223" s="97"/>
      <c r="G223" s="97"/>
      <c r="H223" s="97"/>
    </row>
    <row r="224" spans="1:8" x14ac:dyDescent="0.3">
      <c r="A224" s="57" t="str">
        <f>IF(C224&lt;&gt;"", COUNTA($C$20:C224), "")</f>
        <v/>
      </c>
      <c r="B224" s="95"/>
      <c r="C224" s="96"/>
      <c r="D224" s="96"/>
      <c r="E224" s="97"/>
      <c r="F224" s="97"/>
      <c r="G224" s="97"/>
      <c r="H224" s="97"/>
    </row>
    <row r="225" spans="1:8" x14ac:dyDescent="0.3">
      <c r="A225" s="57" t="str">
        <f>IF(C225&lt;&gt;"", COUNTA($C$20:C225), "")</f>
        <v/>
      </c>
      <c r="B225" s="95"/>
      <c r="C225" s="97"/>
      <c r="D225" s="97"/>
      <c r="E225" s="97"/>
      <c r="F225" s="97"/>
      <c r="G225" s="97"/>
      <c r="H225" s="97"/>
    </row>
    <row r="226" spans="1:8" x14ac:dyDescent="0.3">
      <c r="A226" s="57" t="str">
        <f>IF(C226&lt;&gt;"", COUNTA($C$20:C226), "")</f>
        <v/>
      </c>
      <c r="B226" s="95"/>
      <c r="C226" s="97"/>
      <c r="D226" s="97"/>
      <c r="E226" s="97"/>
      <c r="F226" s="97"/>
      <c r="G226" s="97"/>
      <c r="H226" s="97"/>
    </row>
    <row r="227" spans="1:8" x14ac:dyDescent="0.3">
      <c r="A227" s="57" t="str">
        <f>IF(C227&lt;&gt;"", COUNTA($C$20:C227), "")</f>
        <v/>
      </c>
      <c r="B227" s="95"/>
      <c r="C227" s="97"/>
      <c r="D227" s="97"/>
      <c r="E227" s="97"/>
      <c r="F227" s="97"/>
      <c r="G227" s="97"/>
      <c r="H227" s="97"/>
    </row>
    <row r="228" spans="1:8" x14ac:dyDescent="0.3">
      <c r="A228" s="57" t="str">
        <f>IF(C228&lt;&gt;"", COUNTA($C$20:C228), "")</f>
        <v/>
      </c>
      <c r="B228" s="95"/>
      <c r="C228" s="97"/>
      <c r="D228" s="97"/>
      <c r="E228" s="97"/>
      <c r="F228" s="97"/>
      <c r="G228" s="97"/>
      <c r="H228" s="97"/>
    </row>
    <row r="229" spans="1:8" x14ac:dyDescent="0.3">
      <c r="A229" s="57" t="str">
        <f>IF(C229&lt;&gt;"", COUNTA($C$20:C229), "")</f>
        <v/>
      </c>
      <c r="B229" s="95"/>
      <c r="C229" s="97"/>
      <c r="D229" s="97"/>
      <c r="E229" s="97"/>
      <c r="F229" s="97"/>
      <c r="G229" s="97"/>
      <c r="H229" s="97"/>
    </row>
    <row r="230" spans="1:8" x14ac:dyDescent="0.3">
      <c r="A230" s="57" t="str">
        <f>IF(C230&lt;&gt;"", COUNTA($C$20:C230), "")</f>
        <v/>
      </c>
      <c r="B230" s="95"/>
      <c r="C230" s="97"/>
      <c r="D230" s="97"/>
      <c r="E230" s="97"/>
      <c r="F230" s="97"/>
      <c r="G230" s="97"/>
      <c r="H230" s="97"/>
    </row>
    <row r="231" spans="1:8" x14ac:dyDescent="0.3">
      <c r="A231" s="57" t="str">
        <f>IF(C231&lt;&gt;"", COUNTA($C$20:C231), "")</f>
        <v/>
      </c>
      <c r="B231" s="95"/>
      <c r="C231" s="97"/>
      <c r="D231" s="97"/>
      <c r="E231" s="97"/>
      <c r="F231" s="97"/>
      <c r="G231" s="97"/>
      <c r="H231" s="97"/>
    </row>
    <row r="232" spans="1:8" x14ac:dyDescent="0.3">
      <c r="A232" s="57" t="str">
        <f>IF(C232&lt;&gt;"", COUNTA($C$20:C232), "")</f>
        <v/>
      </c>
      <c r="B232" s="95"/>
      <c r="C232" s="97"/>
      <c r="D232" s="97"/>
      <c r="E232" s="97"/>
      <c r="F232" s="97"/>
      <c r="G232" s="97"/>
      <c r="H232" s="97"/>
    </row>
    <row r="233" spans="1:8" x14ac:dyDescent="0.3">
      <c r="A233" s="57" t="str">
        <f>IF(C233&lt;&gt;"", COUNTA($C$20:C233), "")</f>
        <v/>
      </c>
      <c r="B233" s="95"/>
      <c r="C233" s="97"/>
      <c r="D233" s="97"/>
      <c r="E233" s="97"/>
      <c r="F233" s="97"/>
      <c r="G233" s="97"/>
      <c r="H233" s="97"/>
    </row>
    <row r="234" spans="1:8" x14ac:dyDescent="0.3">
      <c r="A234" s="57" t="str">
        <f>IF(C234&lt;&gt;"", COUNTA($C$20:C234), "")</f>
        <v/>
      </c>
      <c r="B234" s="95"/>
      <c r="C234" s="97"/>
      <c r="D234" s="97"/>
      <c r="E234" s="97"/>
      <c r="F234" s="97"/>
      <c r="G234" s="97"/>
      <c r="H234" s="97"/>
    </row>
    <row r="235" spans="1:8" x14ac:dyDescent="0.3">
      <c r="A235" s="57" t="str">
        <f>IF(C235&lt;&gt;"", COUNTA($C$20:C235), "")</f>
        <v/>
      </c>
      <c r="B235" s="95"/>
      <c r="C235" s="97"/>
      <c r="D235" s="97"/>
      <c r="E235" s="97"/>
      <c r="F235" s="97"/>
      <c r="G235" s="97"/>
      <c r="H235" s="97"/>
    </row>
    <row r="236" spans="1:8" x14ac:dyDescent="0.3">
      <c r="A236" s="57" t="str">
        <f>IF(C236&lt;&gt;"", COUNTA($C$20:C236), "")</f>
        <v/>
      </c>
      <c r="B236" s="95"/>
      <c r="C236" s="96"/>
      <c r="D236" s="96"/>
      <c r="E236" s="97"/>
      <c r="F236" s="97"/>
      <c r="G236" s="97"/>
      <c r="H236" s="97"/>
    </row>
    <row r="237" spans="1:8" x14ac:dyDescent="0.3">
      <c r="A237" s="57" t="str">
        <f>IF(C237&lt;&gt;"", COUNTA($C$20:C237), "")</f>
        <v/>
      </c>
      <c r="B237" s="95"/>
      <c r="C237" s="97"/>
      <c r="D237" s="97"/>
      <c r="E237" s="97"/>
      <c r="F237" s="97"/>
      <c r="G237" s="97"/>
      <c r="H237" s="97"/>
    </row>
    <row r="238" spans="1:8" x14ac:dyDescent="0.3">
      <c r="A238" s="57" t="str">
        <f>IF(C238&lt;&gt;"", COUNTA($C$20:C238), "")</f>
        <v/>
      </c>
      <c r="B238" s="95"/>
      <c r="C238" s="97"/>
      <c r="D238" s="97"/>
      <c r="E238" s="97"/>
      <c r="F238" s="97"/>
      <c r="G238" s="97"/>
      <c r="H238" s="97"/>
    </row>
    <row r="239" spans="1:8" x14ac:dyDescent="0.3">
      <c r="A239" s="57" t="str">
        <f>IF(C239&lt;&gt;"", COUNTA($C$20:C239), "")</f>
        <v/>
      </c>
      <c r="B239" s="95"/>
      <c r="C239" s="97"/>
      <c r="D239" s="97"/>
      <c r="E239" s="97"/>
      <c r="F239" s="97"/>
      <c r="G239" s="97"/>
      <c r="H239" s="97"/>
    </row>
    <row r="240" spans="1:8" x14ac:dyDescent="0.3">
      <c r="A240" s="57" t="str">
        <f>IF(C240&lt;&gt;"", COUNTA($C$20:C240), "")</f>
        <v/>
      </c>
      <c r="B240" s="95"/>
      <c r="C240" s="97"/>
      <c r="D240" s="97"/>
      <c r="E240" s="97"/>
      <c r="F240" s="97"/>
      <c r="G240" s="97"/>
      <c r="H240" s="97"/>
    </row>
    <row r="241" spans="1:8" x14ac:dyDescent="0.3">
      <c r="A241" s="57" t="str">
        <f>IF(C241&lt;&gt;"", COUNTA($C$20:C241), "")</f>
        <v/>
      </c>
      <c r="B241" s="95"/>
      <c r="C241" s="97"/>
      <c r="D241" s="97"/>
      <c r="E241" s="97"/>
      <c r="F241" s="97"/>
      <c r="G241" s="97"/>
      <c r="H241" s="97"/>
    </row>
    <row r="242" spans="1:8" x14ac:dyDescent="0.3">
      <c r="A242" s="57" t="str">
        <f>IF(C242&lt;&gt;"", COUNTA($C$20:C242), "")</f>
        <v/>
      </c>
      <c r="B242" s="95"/>
      <c r="C242" s="97"/>
      <c r="D242" s="97"/>
      <c r="E242" s="97"/>
      <c r="F242" s="97"/>
      <c r="G242" s="97"/>
      <c r="H242" s="97"/>
    </row>
    <row r="243" spans="1:8" x14ac:dyDescent="0.3">
      <c r="A243" s="57" t="str">
        <f>IF(C243&lt;&gt;"", COUNTA($C$20:C243), "")</f>
        <v/>
      </c>
      <c r="B243" s="95"/>
      <c r="C243" s="97"/>
      <c r="D243" s="97"/>
      <c r="E243" s="97"/>
      <c r="F243" s="97"/>
      <c r="G243" s="97"/>
      <c r="H243" s="97"/>
    </row>
    <row r="244" spans="1:8" x14ac:dyDescent="0.3">
      <c r="A244" s="57" t="str">
        <f>IF(C244&lt;&gt;"", COUNTA($C$20:C244), "")</f>
        <v/>
      </c>
      <c r="B244" s="95"/>
      <c r="C244" s="97"/>
      <c r="D244" s="97"/>
      <c r="E244" s="97"/>
      <c r="F244" s="97"/>
      <c r="G244" s="97"/>
      <c r="H244" s="97"/>
    </row>
    <row r="245" spans="1:8" x14ac:dyDescent="0.3">
      <c r="A245" s="57" t="str">
        <f>IF(C245&lt;&gt;"", COUNTA($C$20:C245), "")</f>
        <v/>
      </c>
      <c r="B245" s="95"/>
      <c r="C245" s="97"/>
      <c r="D245" s="97"/>
      <c r="E245" s="97"/>
      <c r="F245" s="97"/>
      <c r="G245" s="97"/>
      <c r="H245" s="97"/>
    </row>
    <row r="246" spans="1:8" x14ac:dyDescent="0.3">
      <c r="A246" s="57" t="str">
        <f>IF(C246&lt;&gt;"", COUNTA($C$20:C246), "")</f>
        <v/>
      </c>
      <c r="B246" s="95"/>
      <c r="C246" s="97"/>
      <c r="D246" s="97"/>
      <c r="E246" s="97"/>
      <c r="F246" s="97"/>
      <c r="G246" s="97"/>
      <c r="H246" s="97"/>
    </row>
    <row r="247" spans="1:8" x14ac:dyDescent="0.3">
      <c r="A247" s="57" t="str">
        <f>IF(C247&lt;&gt;"", COUNTA($C$20:C247), "")</f>
        <v/>
      </c>
      <c r="B247" s="95"/>
      <c r="C247" s="97"/>
      <c r="D247" s="97"/>
      <c r="E247" s="97"/>
      <c r="F247" s="97"/>
      <c r="G247" s="97"/>
      <c r="H247" s="97"/>
    </row>
    <row r="248" spans="1:8" x14ac:dyDescent="0.3">
      <c r="A248" s="57" t="str">
        <f>IF(C248&lt;&gt;"", COUNTA($C$20:C248), "")</f>
        <v/>
      </c>
      <c r="B248" s="95"/>
      <c r="C248" s="96"/>
      <c r="D248" s="96"/>
      <c r="E248" s="97"/>
      <c r="F248" s="97"/>
      <c r="G248" s="97"/>
      <c r="H248" s="97"/>
    </row>
    <row r="249" spans="1:8" x14ac:dyDescent="0.3">
      <c r="A249" s="57" t="str">
        <f>IF(C249&lt;&gt;"", COUNTA($C$20:C249), "")</f>
        <v/>
      </c>
      <c r="B249" s="95"/>
      <c r="C249" s="97"/>
      <c r="D249" s="97"/>
      <c r="E249" s="97"/>
      <c r="F249" s="97"/>
      <c r="G249" s="97"/>
      <c r="H249" s="97"/>
    </row>
    <row r="250" spans="1:8" x14ac:dyDescent="0.3">
      <c r="A250" s="57" t="str">
        <f>IF(C250&lt;&gt;"", COUNTA($C$20:C250), "")</f>
        <v/>
      </c>
      <c r="B250" s="95"/>
      <c r="C250" s="97"/>
      <c r="D250" s="97"/>
      <c r="E250" s="97"/>
      <c r="F250" s="97"/>
      <c r="G250" s="97"/>
      <c r="H250" s="97"/>
    </row>
    <row r="251" spans="1:8" x14ac:dyDescent="0.3">
      <c r="A251" s="57" t="str">
        <f>IF(C251&lt;&gt;"", COUNTA($C$20:C251), "")</f>
        <v/>
      </c>
      <c r="B251" s="95"/>
      <c r="C251" s="97"/>
      <c r="D251" s="97"/>
      <c r="E251" s="97"/>
      <c r="F251" s="97"/>
      <c r="G251" s="97"/>
      <c r="H251" s="97"/>
    </row>
    <row r="252" spans="1:8" x14ac:dyDescent="0.3">
      <c r="A252" s="57" t="str">
        <f>IF(C252&lt;&gt;"", COUNTA($C$20:C252), "")</f>
        <v/>
      </c>
      <c r="B252" s="95"/>
      <c r="C252" s="97"/>
      <c r="D252" s="97"/>
      <c r="E252" s="97"/>
      <c r="F252" s="97"/>
      <c r="G252" s="97"/>
      <c r="H252" s="97"/>
    </row>
    <row r="253" spans="1:8" x14ac:dyDescent="0.3">
      <c r="A253" s="57" t="str">
        <f>IF(C253&lt;&gt;"", COUNTA($C$20:C253), "")</f>
        <v/>
      </c>
      <c r="B253" s="95"/>
      <c r="C253" s="97"/>
      <c r="D253" s="97"/>
      <c r="E253" s="97"/>
      <c r="F253" s="97"/>
      <c r="G253" s="97"/>
      <c r="H253" s="97"/>
    </row>
    <row r="254" spans="1:8" x14ac:dyDescent="0.3">
      <c r="A254" s="57" t="str">
        <f>IF(C254&lt;&gt;"", COUNTA($C$20:C254), "")</f>
        <v/>
      </c>
      <c r="B254" s="95"/>
      <c r="C254" s="97"/>
      <c r="D254" s="97"/>
      <c r="E254" s="97"/>
      <c r="F254" s="97"/>
      <c r="G254" s="97"/>
      <c r="H254" s="97"/>
    </row>
    <row r="255" spans="1:8" x14ac:dyDescent="0.3">
      <c r="A255" s="57" t="str">
        <f>IF(C255&lt;&gt;"", COUNTA($C$20:C255), "")</f>
        <v/>
      </c>
      <c r="B255" s="95"/>
      <c r="C255" s="97"/>
      <c r="D255" s="97"/>
      <c r="E255" s="97"/>
      <c r="F255" s="97"/>
      <c r="G255" s="97"/>
      <c r="H255" s="97"/>
    </row>
    <row r="256" spans="1:8" x14ac:dyDescent="0.3">
      <c r="A256" s="57" t="str">
        <f>IF(C256&lt;&gt;"", COUNTA($C$20:C256), "")</f>
        <v/>
      </c>
      <c r="B256" s="95"/>
      <c r="C256" s="97"/>
      <c r="D256" s="97"/>
      <c r="E256" s="97"/>
      <c r="F256" s="97"/>
      <c r="G256" s="97"/>
      <c r="H256" s="97"/>
    </row>
    <row r="257" spans="1:8" x14ac:dyDescent="0.3">
      <c r="A257" s="57" t="str">
        <f>IF(C257&lt;&gt;"", COUNTA($C$20:C257), "")</f>
        <v/>
      </c>
      <c r="B257" s="95"/>
      <c r="C257" s="97"/>
      <c r="D257" s="97"/>
      <c r="E257" s="97"/>
      <c r="F257" s="97"/>
      <c r="G257" s="97"/>
      <c r="H257" s="97"/>
    </row>
    <row r="258" spans="1:8" x14ac:dyDescent="0.3">
      <c r="A258" s="57" t="str">
        <f>IF(C258&lt;&gt;"", COUNTA($C$20:C258), "")</f>
        <v/>
      </c>
      <c r="B258" s="95"/>
      <c r="C258" s="97"/>
      <c r="D258" s="97"/>
      <c r="E258" s="97"/>
      <c r="F258" s="97"/>
      <c r="G258" s="97"/>
      <c r="H258" s="97"/>
    </row>
    <row r="259" spans="1:8" x14ac:dyDescent="0.3">
      <c r="A259" s="57" t="str">
        <f>IF(C259&lt;&gt;"", COUNTA($C$20:C259), "")</f>
        <v/>
      </c>
      <c r="B259" s="95"/>
      <c r="C259" s="97"/>
      <c r="D259" s="97"/>
      <c r="E259" s="97"/>
      <c r="F259" s="97"/>
      <c r="G259" s="97"/>
      <c r="H259" s="97"/>
    </row>
    <row r="260" spans="1:8" x14ac:dyDescent="0.3">
      <c r="A260" s="57" t="str">
        <f>IF(C260&lt;&gt;"", COUNTA($C$20:C260), "")</f>
        <v/>
      </c>
      <c r="B260" s="95"/>
      <c r="C260" s="96"/>
      <c r="D260" s="96"/>
      <c r="E260" s="97"/>
      <c r="F260" s="97"/>
      <c r="G260" s="97"/>
      <c r="H260" s="97"/>
    </row>
    <row r="261" spans="1:8" x14ac:dyDescent="0.3">
      <c r="A261" s="57" t="str">
        <f>IF(C261&lt;&gt;"", COUNTA($C$20:C261), "")</f>
        <v/>
      </c>
      <c r="B261" s="95"/>
      <c r="C261" s="97"/>
      <c r="D261" s="97"/>
      <c r="E261" s="97"/>
      <c r="F261" s="97"/>
      <c r="G261" s="97"/>
      <c r="H261" s="97"/>
    </row>
    <row r="262" spans="1:8" x14ac:dyDescent="0.3">
      <c r="A262" s="57" t="str">
        <f>IF(C262&lt;&gt;"", COUNTA($C$20:C262), "")</f>
        <v/>
      </c>
      <c r="B262" s="95"/>
      <c r="C262" s="97"/>
      <c r="D262" s="97"/>
      <c r="E262" s="97"/>
      <c r="F262" s="97"/>
      <c r="G262" s="97"/>
      <c r="H262" s="97"/>
    </row>
    <row r="263" spans="1:8" x14ac:dyDescent="0.3">
      <c r="A263" s="57" t="str">
        <f>IF(C263&lt;&gt;"", COUNTA($C$20:C263), "")</f>
        <v/>
      </c>
      <c r="B263" s="95"/>
      <c r="C263" s="97"/>
      <c r="D263" s="97"/>
      <c r="E263" s="97"/>
      <c r="F263" s="97"/>
      <c r="G263" s="97"/>
      <c r="H263" s="97"/>
    </row>
    <row r="264" spans="1:8" x14ac:dyDescent="0.3">
      <c r="A264" s="57" t="str">
        <f>IF(C264&lt;&gt;"", COUNTA($C$20:C264), "")</f>
        <v/>
      </c>
      <c r="B264" s="95"/>
      <c r="C264" s="97"/>
      <c r="D264" s="97"/>
      <c r="E264" s="97"/>
      <c r="F264" s="97"/>
      <c r="G264" s="97"/>
      <c r="H264" s="97"/>
    </row>
    <row r="265" spans="1:8" x14ac:dyDescent="0.3">
      <c r="A265" s="57" t="str">
        <f>IF(C265&lt;&gt;"", COUNTA($C$20:C265), "")</f>
        <v/>
      </c>
      <c r="B265" s="95"/>
      <c r="C265" s="97"/>
      <c r="D265" s="97"/>
      <c r="E265" s="97"/>
      <c r="F265" s="97"/>
      <c r="G265" s="97"/>
      <c r="H265" s="97"/>
    </row>
    <row r="266" spans="1:8" x14ac:dyDescent="0.3">
      <c r="A266" s="57" t="str">
        <f>IF(C266&lt;&gt;"", COUNTA($C$20:C266), "")</f>
        <v/>
      </c>
      <c r="B266" s="95"/>
      <c r="C266" s="97"/>
      <c r="D266" s="97"/>
      <c r="E266" s="97"/>
      <c r="F266" s="97"/>
      <c r="G266" s="97"/>
      <c r="H266" s="97"/>
    </row>
    <row r="267" spans="1:8" x14ac:dyDescent="0.3">
      <c r="A267" s="57" t="str">
        <f>IF(C267&lt;&gt;"", COUNTA($C$20:C267), "")</f>
        <v/>
      </c>
      <c r="B267" s="95"/>
      <c r="C267" s="97"/>
      <c r="D267" s="97"/>
      <c r="E267" s="97"/>
      <c r="F267" s="97"/>
      <c r="G267" s="97"/>
      <c r="H267" s="97"/>
    </row>
    <row r="268" spans="1:8" x14ac:dyDescent="0.3">
      <c r="A268" s="57" t="str">
        <f>IF(C268&lt;&gt;"", COUNTA($C$20:C268), "")</f>
        <v/>
      </c>
      <c r="B268" s="95"/>
      <c r="C268" s="97"/>
      <c r="D268" s="97"/>
      <c r="E268" s="97"/>
      <c r="F268" s="97"/>
      <c r="G268" s="97"/>
      <c r="H268" s="97"/>
    </row>
    <row r="269" spans="1:8" x14ac:dyDescent="0.3">
      <c r="A269" s="57" t="str">
        <f>IF(C269&lt;&gt;"", COUNTA($C$20:C269), "")</f>
        <v/>
      </c>
      <c r="B269" s="95"/>
      <c r="C269" s="97"/>
      <c r="D269" s="97"/>
      <c r="E269" s="97"/>
      <c r="F269" s="97"/>
      <c r="G269" s="97"/>
      <c r="H269" s="97"/>
    </row>
    <row r="270" spans="1:8" x14ac:dyDescent="0.3">
      <c r="A270" s="57" t="str">
        <f>IF(C270&lt;&gt;"", COUNTA($C$20:C270), "")</f>
        <v/>
      </c>
      <c r="B270" s="95"/>
      <c r="C270" s="97"/>
      <c r="D270" s="97"/>
      <c r="E270" s="97"/>
      <c r="F270" s="97"/>
      <c r="G270" s="97"/>
      <c r="H270" s="97"/>
    </row>
    <row r="271" spans="1:8" x14ac:dyDescent="0.3">
      <c r="A271" s="57" t="str">
        <f>IF(C271&lt;&gt;"", COUNTA($C$20:C271), "")</f>
        <v/>
      </c>
      <c r="B271" s="95"/>
      <c r="C271" s="97"/>
      <c r="D271" s="97"/>
      <c r="E271" s="97"/>
      <c r="F271" s="97"/>
      <c r="G271" s="97"/>
      <c r="H271" s="97"/>
    </row>
    <row r="272" spans="1:8" x14ac:dyDescent="0.3">
      <c r="A272" s="57" t="str">
        <f>IF(C272&lt;&gt;"", COUNTA($C$20:C272), "")</f>
        <v/>
      </c>
      <c r="B272" s="95"/>
      <c r="C272" s="96"/>
      <c r="D272" s="96"/>
      <c r="E272" s="97"/>
      <c r="F272" s="97"/>
      <c r="G272" s="97"/>
      <c r="H272" s="97"/>
    </row>
    <row r="273" spans="1:8" x14ac:dyDescent="0.3">
      <c r="A273" s="57" t="str">
        <f>IF(C273&lt;&gt;"", COUNTA($C$20:C273), "")</f>
        <v/>
      </c>
      <c r="B273" s="95"/>
      <c r="C273" s="97"/>
      <c r="D273" s="97"/>
      <c r="E273" s="97"/>
      <c r="F273" s="97"/>
      <c r="G273" s="97"/>
      <c r="H273" s="97"/>
    </row>
    <row r="274" spans="1:8" x14ac:dyDescent="0.3">
      <c r="A274" s="57" t="str">
        <f>IF(C274&lt;&gt;"", COUNTA($C$20:C274), "")</f>
        <v/>
      </c>
      <c r="B274" s="95"/>
      <c r="C274" s="97"/>
      <c r="D274" s="97"/>
      <c r="E274" s="97"/>
      <c r="F274" s="97"/>
      <c r="G274" s="97"/>
      <c r="H274" s="97"/>
    </row>
    <row r="275" spans="1:8" x14ac:dyDescent="0.3">
      <c r="A275" s="57" t="str">
        <f>IF(C275&lt;&gt;"", COUNTA($C$20:C275), "")</f>
        <v/>
      </c>
      <c r="B275" s="95"/>
      <c r="C275" s="97"/>
      <c r="D275" s="97"/>
      <c r="E275" s="97"/>
      <c r="F275" s="97"/>
      <c r="G275" s="97"/>
      <c r="H275" s="97"/>
    </row>
    <row r="276" spans="1:8" x14ac:dyDescent="0.3">
      <c r="A276" s="57" t="str">
        <f>IF(C276&lt;&gt;"", COUNTA($C$20:C276), "")</f>
        <v/>
      </c>
      <c r="B276" s="95"/>
      <c r="C276" s="97"/>
      <c r="D276" s="97"/>
      <c r="E276" s="97"/>
      <c r="F276" s="97"/>
      <c r="G276" s="97"/>
      <c r="H276" s="97"/>
    </row>
    <row r="277" spans="1:8" x14ac:dyDescent="0.3">
      <c r="A277" s="57" t="str">
        <f>IF(C277&lt;&gt;"", COUNTA($C$20:C277), "")</f>
        <v/>
      </c>
      <c r="B277" s="95"/>
      <c r="C277" s="97"/>
      <c r="D277" s="97"/>
      <c r="E277" s="97"/>
      <c r="F277" s="97"/>
      <c r="G277" s="97"/>
      <c r="H277" s="97"/>
    </row>
    <row r="278" spans="1:8" x14ac:dyDescent="0.3">
      <c r="A278" s="57" t="str">
        <f>IF(C278&lt;&gt;"", COUNTA($C$20:C278), "")</f>
        <v/>
      </c>
      <c r="B278" s="95"/>
      <c r="C278" s="97"/>
      <c r="D278" s="97"/>
      <c r="E278" s="97"/>
      <c r="F278" s="97"/>
      <c r="G278" s="97"/>
      <c r="H278" s="97"/>
    </row>
    <row r="279" spans="1:8" x14ac:dyDescent="0.3">
      <c r="A279" s="57" t="str">
        <f>IF(C279&lt;&gt;"", COUNTA($C$20:C279), "")</f>
        <v/>
      </c>
      <c r="B279" s="95"/>
      <c r="C279" s="97"/>
      <c r="D279" s="97"/>
      <c r="E279" s="97"/>
      <c r="F279" s="97"/>
      <c r="G279" s="97"/>
      <c r="H279" s="97"/>
    </row>
    <row r="280" spans="1:8" x14ac:dyDescent="0.3">
      <c r="A280" s="57" t="str">
        <f>IF(C280&lt;&gt;"", COUNTA($C$20:C280), "")</f>
        <v/>
      </c>
      <c r="B280" s="95"/>
      <c r="C280" s="97"/>
      <c r="D280" s="97"/>
      <c r="E280" s="97"/>
      <c r="F280" s="97"/>
      <c r="G280" s="97"/>
      <c r="H280" s="97"/>
    </row>
    <row r="281" spans="1:8" x14ac:dyDescent="0.3">
      <c r="A281" s="57" t="str">
        <f>IF(C281&lt;&gt;"", COUNTA($C$20:C281), "")</f>
        <v/>
      </c>
      <c r="B281" s="95"/>
      <c r="C281" s="97"/>
      <c r="D281" s="97"/>
      <c r="E281" s="97"/>
      <c r="F281" s="97"/>
      <c r="G281" s="97"/>
      <c r="H281" s="97"/>
    </row>
    <row r="282" spans="1:8" x14ac:dyDescent="0.3">
      <c r="A282" s="57" t="str">
        <f>IF(C282&lt;&gt;"", COUNTA($C$20:C282), "")</f>
        <v/>
      </c>
      <c r="B282" s="95"/>
      <c r="C282" s="97"/>
      <c r="D282" s="97"/>
      <c r="E282" s="97"/>
      <c r="F282" s="97"/>
      <c r="G282" s="97"/>
      <c r="H282" s="97"/>
    </row>
    <row r="283" spans="1:8" x14ac:dyDescent="0.3">
      <c r="A283" s="57" t="str">
        <f>IF(C283&lt;&gt;"", COUNTA($C$20:C283), "")</f>
        <v/>
      </c>
      <c r="B283" s="95"/>
      <c r="C283" s="97"/>
      <c r="D283" s="97"/>
      <c r="E283" s="97"/>
      <c r="F283" s="97"/>
      <c r="G283" s="97"/>
      <c r="H283" s="97"/>
    </row>
    <row r="284" spans="1:8" x14ac:dyDescent="0.3">
      <c r="A284" s="57" t="str">
        <f>IF(C284&lt;&gt;"", COUNTA($C$20:C284), "")</f>
        <v/>
      </c>
      <c r="B284" s="95"/>
      <c r="C284" s="96"/>
      <c r="D284" s="96"/>
      <c r="E284" s="97"/>
      <c r="F284" s="97"/>
      <c r="G284" s="97"/>
      <c r="H284" s="97"/>
    </row>
    <row r="285" spans="1:8" x14ac:dyDescent="0.3">
      <c r="A285" s="57" t="str">
        <f>IF(C285&lt;&gt;"", COUNTA($C$20:C285), "")</f>
        <v/>
      </c>
      <c r="B285" s="95"/>
      <c r="C285" s="97"/>
      <c r="D285" s="97"/>
      <c r="E285" s="97"/>
      <c r="F285" s="97"/>
      <c r="G285" s="97"/>
      <c r="H285" s="97"/>
    </row>
    <row r="286" spans="1:8" x14ac:dyDescent="0.3">
      <c r="A286" s="57" t="str">
        <f>IF(C286&lt;&gt;"", COUNTA($C$20:C286), "")</f>
        <v/>
      </c>
      <c r="B286" s="95"/>
      <c r="C286" s="97"/>
      <c r="D286" s="97"/>
      <c r="E286" s="97"/>
      <c r="F286" s="97"/>
      <c r="G286" s="97"/>
      <c r="H286" s="97"/>
    </row>
    <row r="287" spans="1:8" x14ac:dyDescent="0.3">
      <c r="A287" s="57" t="str">
        <f>IF(C287&lt;&gt;"", COUNTA($C$20:C287), "")</f>
        <v/>
      </c>
      <c r="B287" s="95"/>
      <c r="C287" s="97"/>
      <c r="D287" s="97"/>
      <c r="E287" s="97"/>
      <c r="F287" s="97"/>
      <c r="G287" s="97"/>
      <c r="H287" s="97"/>
    </row>
    <row r="288" spans="1:8" x14ac:dyDescent="0.3">
      <c r="A288" s="57" t="str">
        <f>IF(C288&lt;&gt;"", COUNTA($C$20:C288), "")</f>
        <v/>
      </c>
      <c r="B288" s="95"/>
      <c r="C288" s="97"/>
      <c r="D288" s="97"/>
      <c r="E288" s="97"/>
      <c r="F288" s="97"/>
      <c r="G288" s="97"/>
      <c r="H288" s="97"/>
    </row>
    <row r="289" spans="1:8" x14ac:dyDescent="0.3">
      <c r="A289" s="57" t="str">
        <f>IF(C289&lt;&gt;"", COUNTA($C$20:C289), "")</f>
        <v/>
      </c>
      <c r="B289" s="95"/>
      <c r="C289" s="97"/>
      <c r="D289" s="97"/>
      <c r="E289" s="97"/>
      <c r="F289" s="97"/>
      <c r="G289" s="97"/>
      <c r="H289" s="97"/>
    </row>
    <row r="290" spans="1:8" x14ac:dyDescent="0.3">
      <c r="A290" s="57" t="str">
        <f>IF(C290&lt;&gt;"", COUNTA($C$20:C290), "")</f>
        <v/>
      </c>
      <c r="B290" s="95"/>
      <c r="C290" s="97"/>
      <c r="D290" s="97"/>
      <c r="E290" s="97"/>
      <c r="F290" s="97"/>
      <c r="G290" s="97"/>
      <c r="H290" s="97"/>
    </row>
    <row r="291" spans="1:8" x14ac:dyDescent="0.3">
      <c r="A291" s="57" t="str">
        <f>IF(C291&lt;&gt;"", COUNTA($C$20:C291), "")</f>
        <v/>
      </c>
      <c r="B291" s="95"/>
      <c r="C291" s="97"/>
      <c r="D291" s="97"/>
      <c r="E291" s="97"/>
      <c r="F291" s="97"/>
      <c r="G291" s="97"/>
      <c r="H291" s="97"/>
    </row>
    <row r="292" spans="1:8" x14ac:dyDescent="0.3">
      <c r="A292" s="57" t="str">
        <f>IF(C292&lt;&gt;"", COUNTA($C$20:C292), "")</f>
        <v/>
      </c>
      <c r="B292" s="95"/>
      <c r="C292" s="97"/>
      <c r="D292" s="97"/>
      <c r="E292" s="97"/>
      <c r="F292" s="97"/>
      <c r="G292" s="97"/>
      <c r="H292" s="97"/>
    </row>
    <row r="293" spans="1:8" x14ac:dyDescent="0.3">
      <c r="A293" s="57" t="str">
        <f>IF(C293&lt;&gt;"", COUNTA($C$20:C293), "")</f>
        <v/>
      </c>
      <c r="B293" s="95"/>
      <c r="C293" s="97"/>
      <c r="D293" s="97"/>
      <c r="E293" s="97"/>
      <c r="F293" s="97"/>
      <c r="G293" s="97"/>
      <c r="H293" s="97"/>
    </row>
    <row r="294" spans="1:8" x14ac:dyDescent="0.3">
      <c r="A294" s="57" t="str">
        <f>IF(C294&lt;&gt;"", COUNTA($C$20:C294), "")</f>
        <v/>
      </c>
      <c r="B294" s="95"/>
      <c r="C294" s="97"/>
      <c r="D294" s="97"/>
      <c r="E294" s="97"/>
      <c r="F294" s="97"/>
      <c r="G294" s="97"/>
      <c r="H294" s="97"/>
    </row>
    <row r="295" spans="1:8" x14ac:dyDescent="0.3">
      <c r="A295" s="57" t="str">
        <f>IF(C295&lt;&gt;"", COUNTA($C$20:C295), "")</f>
        <v/>
      </c>
      <c r="B295" s="95"/>
      <c r="C295" s="97"/>
      <c r="D295" s="97"/>
      <c r="E295" s="97"/>
      <c r="F295" s="97"/>
      <c r="G295" s="97"/>
      <c r="H295" s="97"/>
    </row>
    <row r="296" spans="1:8" x14ac:dyDescent="0.3">
      <c r="A296" s="57" t="str">
        <f>IF(C296&lt;&gt;"", COUNTA($C$20:C296), "")</f>
        <v/>
      </c>
      <c r="B296" s="95"/>
      <c r="C296" s="96"/>
      <c r="D296" s="96"/>
      <c r="E296" s="97"/>
      <c r="F296" s="97"/>
      <c r="G296" s="97"/>
      <c r="H296" s="97"/>
    </row>
    <row r="297" spans="1:8" x14ac:dyDescent="0.3">
      <c r="A297" s="57" t="str">
        <f>IF(C297&lt;&gt;"", COUNTA($C$20:C297), "")</f>
        <v/>
      </c>
      <c r="B297" s="95"/>
      <c r="C297" s="97"/>
      <c r="D297" s="97"/>
      <c r="E297" s="97"/>
      <c r="F297" s="97"/>
      <c r="G297" s="97"/>
      <c r="H297" s="97"/>
    </row>
    <row r="298" spans="1:8" x14ac:dyDescent="0.3">
      <c r="A298" s="57" t="str">
        <f>IF(C298&lt;&gt;"", COUNTA($C$20:C298), "")</f>
        <v/>
      </c>
      <c r="B298" s="95"/>
      <c r="C298" s="97"/>
      <c r="D298" s="97"/>
      <c r="E298" s="97"/>
      <c r="F298" s="97"/>
      <c r="G298" s="97"/>
      <c r="H298" s="97"/>
    </row>
    <row r="299" spans="1:8" x14ac:dyDescent="0.3">
      <c r="A299" s="57" t="str">
        <f>IF(C299&lt;&gt;"", COUNTA($C$20:C299), "")</f>
        <v/>
      </c>
      <c r="B299" s="95"/>
      <c r="C299" s="97"/>
      <c r="D299" s="97"/>
      <c r="E299" s="97"/>
      <c r="F299" s="97"/>
      <c r="G299" s="97"/>
      <c r="H299" s="97"/>
    </row>
    <row r="300" spans="1:8" x14ac:dyDescent="0.3">
      <c r="A300" s="57" t="str">
        <f>IF(C300&lt;&gt;"", COUNTA($C$20:C300), "")</f>
        <v/>
      </c>
      <c r="B300" s="95"/>
      <c r="C300" s="97"/>
      <c r="D300" s="97"/>
      <c r="E300" s="97"/>
      <c r="F300" s="97"/>
      <c r="G300" s="97"/>
      <c r="H300" s="97"/>
    </row>
    <row r="301" spans="1:8" x14ac:dyDescent="0.3">
      <c r="A301" s="57" t="str">
        <f>IF(C301&lt;&gt;"", COUNTA($C$20:C301), "")</f>
        <v/>
      </c>
      <c r="B301" s="95"/>
      <c r="C301" s="97"/>
      <c r="D301" s="97"/>
      <c r="E301" s="97"/>
      <c r="F301" s="97"/>
      <c r="G301" s="97"/>
      <c r="H301" s="97"/>
    </row>
    <row r="302" spans="1:8" x14ac:dyDescent="0.3">
      <c r="A302" s="57" t="str">
        <f>IF(C302&lt;&gt;"", COUNTA($C$20:C302), "")</f>
        <v/>
      </c>
      <c r="B302" s="95"/>
      <c r="C302" s="97"/>
      <c r="D302" s="97"/>
      <c r="E302" s="97"/>
      <c r="F302" s="97"/>
      <c r="G302" s="97"/>
      <c r="H302" s="97"/>
    </row>
    <row r="303" spans="1:8" x14ac:dyDescent="0.3">
      <c r="A303" s="57" t="str">
        <f>IF(C303&lt;&gt;"", COUNTA($C$20:C303), "")</f>
        <v/>
      </c>
      <c r="B303" s="95"/>
      <c r="C303" s="97"/>
      <c r="D303" s="97"/>
      <c r="E303" s="97"/>
      <c r="F303" s="97"/>
      <c r="G303" s="97"/>
      <c r="H303" s="97"/>
    </row>
    <row r="304" spans="1:8" x14ac:dyDescent="0.3">
      <c r="A304" s="57" t="str">
        <f>IF(C304&lt;&gt;"", COUNTA($C$20:C304), "")</f>
        <v/>
      </c>
      <c r="B304" s="95"/>
      <c r="C304" s="97"/>
      <c r="D304" s="97"/>
      <c r="E304" s="97"/>
      <c r="F304" s="97"/>
      <c r="G304" s="97"/>
      <c r="H304" s="97"/>
    </row>
    <row r="305" spans="1:8" x14ac:dyDescent="0.3">
      <c r="A305" s="57" t="str">
        <f>IF(C305&lt;&gt;"", COUNTA($C$20:C305), "")</f>
        <v/>
      </c>
      <c r="B305" s="95"/>
      <c r="C305" s="97"/>
      <c r="D305" s="97"/>
      <c r="E305" s="97"/>
      <c r="F305" s="97"/>
      <c r="G305" s="97"/>
      <c r="H305" s="97"/>
    </row>
    <row r="306" spans="1:8" x14ac:dyDescent="0.3">
      <c r="A306" s="57" t="str">
        <f>IF(C306&lt;&gt;"", COUNTA($C$20:C306), "")</f>
        <v/>
      </c>
      <c r="B306" s="95"/>
      <c r="C306" s="97"/>
      <c r="D306" s="97"/>
      <c r="E306" s="97"/>
      <c r="F306" s="97"/>
      <c r="G306" s="97"/>
      <c r="H306" s="97"/>
    </row>
    <row r="307" spans="1:8" x14ac:dyDescent="0.3">
      <c r="A307" s="57" t="str">
        <f>IF(C307&lt;&gt;"", COUNTA($C$20:C307), "")</f>
        <v/>
      </c>
      <c r="B307" s="95"/>
      <c r="C307" s="97"/>
      <c r="D307" s="97"/>
      <c r="E307" s="97"/>
      <c r="F307" s="97"/>
      <c r="G307" s="97"/>
      <c r="H307" s="97"/>
    </row>
    <row r="308" spans="1:8" x14ac:dyDescent="0.3">
      <c r="A308" s="57" t="str">
        <f>IF(C308&lt;&gt;"", COUNTA($C$20:C308), "")</f>
        <v/>
      </c>
      <c r="B308" s="95"/>
      <c r="C308" s="96"/>
      <c r="D308" s="96"/>
      <c r="E308" s="97"/>
      <c r="F308" s="97"/>
      <c r="G308" s="97"/>
      <c r="H308" s="97"/>
    </row>
    <row r="309" spans="1:8" x14ac:dyDescent="0.3">
      <c r="A309" s="57" t="str">
        <f>IF(C309&lt;&gt;"", COUNTA($C$20:C309), "")</f>
        <v/>
      </c>
      <c r="B309" s="95"/>
      <c r="C309" s="97"/>
      <c r="D309" s="97"/>
      <c r="E309" s="97"/>
      <c r="F309" s="97"/>
      <c r="G309" s="97"/>
      <c r="H309" s="97"/>
    </row>
    <row r="310" spans="1:8" x14ac:dyDescent="0.3">
      <c r="A310" s="57" t="str">
        <f>IF(C310&lt;&gt;"", COUNTA($C$20:C310), "")</f>
        <v/>
      </c>
      <c r="B310" s="95"/>
      <c r="C310" s="97"/>
      <c r="D310" s="97"/>
      <c r="E310" s="97"/>
      <c r="F310" s="97"/>
      <c r="G310" s="97"/>
      <c r="H310" s="97"/>
    </row>
    <row r="311" spans="1:8" x14ac:dyDescent="0.3">
      <c r="A311" s="57" t="str">
        <f>IF(C311&lt;&gt;"", COUNTA($C$20:C311), "")</f>
        <v/>
      </c>
      <c r="B311" s="95"/>
      <c r="C311" s="97"/>
      <c r="D311" s="97"/>
      <c r="E311" s="97"/>
      <c r="F311" s="97"/>
      <c r="G311" s="97"/>
      <c r="H311" s="97"/>
    </row>
    <row r="312" spans="1:8" x14ac:dyDescent="0.3">
      <c r="A312" s="57" t="str">
        <f>IF(C312&lt;&gt;"", COUNTA($C$20:C312), "")</f>
        <v/>
      </c>
      <c r="B312" s="95"/>
      <c r="C312" s="97"/>
      <c r="D312" s="97"/>
      <c r="E312" s="97"/>
      <c r="F312" s="97"/>
      <c r="G312" s="97"/>
      <c r="H312" s="97"/>
    </row>
    <row r="313" spans="1:8" x14ac:dyDescent="0.3">
      <c r="A313" s="57" t="str">
        <f>IF(C313&lt;&gt;"", COUNTA($C$20:C313), "")</f>
        <v/>
      </c>
      <c r="B313" s="95"/>
      <c r="C313" s="97"/>
      <c r="D313" s="97"/>
      <c r="E313" s="97"/>
      <c r="F313" s="97"/>
      <c r="G313" s="97"/>
      <c r="H313" s="97"/>
    </row>
    <row r="314" spans="1:8" x14ac:dyDescent="0.3">
      <c r="A314" s="57" t="str">
        <f>IF(C314&lt;&gt;"", COUNTA($C$20:C314), "")</f>
        <v/>
      </c>
      <c r="B314" s="95"/>
      <c r="C314" s="97"/>
      <c r="D314" s="97"/>
      <c r="E314" s="97"/>
      <c r="F314" s="97"/>
      <c r="G314" s="97"/>
      <c r="H314" s="97"/>
    </row>
    <row r="315" spans="1:8" x14ac:dyDescent="0.3">
      <c r="A315" s="57" t="str">
        <f>IF(C315&lt;&gt;"", COUNTA($C$20:C315), "")</f>
        <v/>
      </c>
      <c r="B315" s="95"/>
      <c r="C315" s="97"/>
      <c r="D315" s="97"/>
      <c r="E315" s="97"/>
      <c r="F315" s="97"/>
      <c r="G315" s="97"/>
      <c r="H315" s="97"/>
    </row>
    <row r="316" spans="1:8" x14ac:dyDescent="0.3">
      <c r="A316" s="57" t="str">
        <f>IF(C316&lt;&gt;"", COUNTA($C$20:C316), "")</f>
        <v/>
      </c>
      <c r="B316" s="95"/>
      <c r="C316" s="97"/>
      <c r="D316" s="97"/>
      <c r="E316" s="97"/>
      <c r="F316" s="97"/>
      <c r="G316" s="97"/>
      <c r="H316" s="97"/>
    </row>
    <row r="317" spans="1:8" x14ac:dyDescent="0.3">
      <c r="A317" s="57" t="str">
        <f>IF(C317&lt;&gt;"", COUNTA($C$20:C317), "")</f>
        <v/>
      </c>
      <c r="B317" s="95"/>
      <c r="C317" s="97"/>
      <c r="D317" s="97"/>
      <c r="E317" s="97"/>
      <c r="F317" s="97"/>
      <c r="G317" s="97"/>
      <c r="H317" s="97"/>
    </row>
    <row r="318" spans="1:8" x14ac:dyDescent="0.3">
      <c r="A318" s="57" t="str">
        <f>IF(C318&lt;&gt;"", COUNTA($C$20:C318), "")</f>
        <v/>
      </c>
      <c r="B318" s="95"/>
      <c r="C318" s="97"/>
      <c r="D318" s="97"/>
      <c r="E318" s="97"/>
      <c r="F318" s="97"/>
      <c r="G318" s="97"/>
      <c r="H318" s="97"/>
    </row>
    <row r="319" spans="1:8" x14ac:dyDescent="0.3">
      <c r="A319" s="57" t="str">
        <f>IF(C319&lt;&gt;"", COUNTA($C$20:C319), "")</f>
        <v/>
      </c>
      <c r="B319" s="95"/>
      <c r="C319" s="97"/>
      <c r="D319" s="97"/>
      <c r="E319" s="97"/>
      <c r="F319" s="97"/>
      <c r="G319" s="97"/>
      <c r="H319" s="97"/>
    </row>
    <row r="320" spans="1:8" x14ac:dyDescent="0.3">
      <c r="A320" s="57" t="str">
        <f>IF(C320&lt;&gt;"", COUNTA($C$20:C320), "")</f>
        <v/>
      </c>
      <c r="B320" s="95"/>
      <c r="C320" s="96"/>
      <c r="D320" s="96"/>
      <c r="E320" s="97"/>
      <c r="F320" s="97"/>
      <c r="G320" s="97"/>
      <c r="H320" s="97"/>
    </row>
  </sheetData>
  <sheetProtection selectLockedCells="1"/>
  <mergeCells count="7">
    <mergeCell ref="B1:H1"/>
    <mergeCell ref="B2:H2"/>
    <mergeCell ref="B3:H3"/>
    <mergeCell ref="A15:B15"/>
    <mergeCell ref="A7:A9"/>
    <mergeCell ref="A11:A13"/>
    <mergeCell ref="A4:H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2"/>
  <sheetViews>
    <sheetView workbookViewId="0">
      <selection activeCell="N31" sqref="N31"/>
    </sheetView>
  </sheetViews>
  <sheetFormatPr defaultColWidth="8.75" defaultRowHeight="14" x14ac:dyDescent="0.3"/>
  <cols>
    <col min="1" max="1" width="5.75" style="151" bestFit="1" customWidth="1"/>
    <col min="2" max="2" width="12" style="151" bestFit="1" customWidth="1"/>
    <col min="3" max="3" width="30.25" style="151" bestFit="1" customWidth="1"/>
    <col min="4" max="4" width="10.25" style="151" customWidth="1"/>
    <col min="5" max="5" width="10" style="151" bestFit="1" customWidth="1"/>
    <col min="6" max="8" width="10.83203125" style="151" customWidth="1"/>
    <col min="9" max="9" width="9" style="151" customWidth="1"/>
    <col min="10" max="10" width="11.5" style="151" customWidth="1"/>
    <col min="11" max="16384" width="8.75" style="151"/>
  </cols>
  <sheetData>
    <row r="1" spans="1:10" ht="18.5" x14ac:dyDescent="0.45">
      <c r="B1" s="319" t="s">
        <v>179</v>
      </c>
      <c r="C1" s="319"/>
      <c r="D1" s="319"/>
      <c r="E1" s="319"/>
      <c r="F1" s="319"/>
      <c r="G1" s="319"/>
      <c r="H1" s="319"/>
      <c r="I1" s="319"/>
      <c r="J1" s="319"/>
    </row>
    <row r="2" spans="1:10" x14ac:dyDescent="0.3">
      <c r="B2" s="320" t="s">
        <v>292</v>
      </c>
      <c r="C2" s="320"/>
      <c r="D2" s="320"/>
      <c r="E2" s="320"/>
      <c r="F2" s="320"/>
      <c r="G2" s="320"/>
      <c r="H2" s="320"/>
      <c r="I2" s="320"/>
      <c r="J2" s="320"/>
    </row>
    <row r="3" spans="1:10" x14ac:dyDescent="0.3">
      <c r="B3" s="320" t="s">
        <v>290</v>
      </c>
      <c r="C3" s="320"/>
      <c r="D3" s="320"/>
      <c r="E3" s="320"/>
      <c r="F3" s="320"/>
      <c r="G3" s="320"/>
      <c r="H3" s="320"/>
      <c r="I3" s="320"/>
      <c r="J3" s="320"/>
    </row>
    <row r="4" spans="1:10" x14ac:dyDescent="0.3">
      <c r="A4" s="321" t="s">
        <v>291</v>
      </c>
      <c r="B4" s="321"/>
      <c r="C4" s="321"/>
      <c r="D4" s="321"/>
      <c r="E4" s="321"/>
      <c r="F4" s="321"/>
      <c r="G4" s="321"/>
      <c r="H4" s="321"/>
      <c r="I4" s="321"/>
      <c r="J4" s="321"/>
    </row>
    <row r="5" spans="1:10" x14ac:dyDescent="0.3">
      <c r="A5" s="317" t="s">
        <v>4</v>
      </c>
      <c r="B5" s="317" t="s">
        <v>180</v>
      </c>
      <c r="C5" s="317" t="s">
        <v>181</v>
      </c>
      <c r="D5" s="323" t="s">
        <v>182</v>
      </c>
      <c r="E5" s="324"/>
      <c r="F5" s="317" t="s">
        <v>183</v>
      </c>
      <c r="G5" s="317" t="s">
        <v>184</v>
      </c>
      <c r="H5" s="317" t="s">
        <v>185</v>
      </c>
      <c r="I5" s="317" t="s">
        <v>186</v>
      </c>
      <c r="J5" s="317" t="s">
        <v>187</v>
      </c>
    </row>
    <row r="6" spans="1:10" x14ac:dyDescent="0.3">
      <c r="A6" s="322"/>
      <c r="B6" s="322"/>
      <c r="C6" s="322"/>
      <c r="D6" s="152" t="s">
        <v>188</v>
      </c>
      <c r="E6" s="152" t="s">
        <v>189</v>
      </c>
      <c r="F6" s="318"/>
      <c r="G6" s="318"/>
      <c r="H6" s="318"/>
      <c r="I6" s="318"/>
      <c r="J6" s="318"/>
    </row>
    <row r="7" spans="1:10" x14ac:dyDescent="0.3">
      <c r="A7" s="318"/>
      <c r="B7" s="318"/>
      <c r="C7" s="322"/>
      <c r="D7" s="152">
        <v>5</v>
      </c>
      <c r="E7" s="152">
        <v>5</v>
      </c>
      <c r="F7" s="152">
        <v>30</v>
      </c>
      <c r="G7" s="152">
        <v>20</v>
      </c>
      <c r="H7" s="152">
        <v>30</v>
      </c>
      <c r="I7" s="152">
        <v>20</v>
      </c>
      <c r="J7" s="152">
        <v>50</v>
      </c>
    </row>
    <row r="8" spans="1:10" ht="28" x14ac:dyDescent="0.3">
      <c r="A8" s="164"/>
      <c r="B8" s="165"/>
      <c r="C8" s="166"/>
      <c r="D8" s="167" t="s">
        <v>23</v>
      </c>
      <c r="E8" s="152" t="s">
        <v>23</v>
      </c>
      <c r="F8" s="152" t="s">
        <v>294</v>
      </c>
      <c r="G8" s="152" t="s">
        <v>24</v>
      </c>
      <c r="H8" s="152"/>
      <c r="I8" s="152" t="s">
        <v>196</v>
      </c>
      <c r="J8" s="152"/>
    </row>
    <row r="9" spans="1:10" x14ac:dyDescent="0.3">
      <c r="A9" s="153">
        <v>1</v>
      </c>
      <c r="B9" s="154">
        <v>3001</v>
      </c>
      <c r="C9" s="183" t="s">
        <v>266</v>
      </c>
      <c r="D9" s="155">
        <v>2</v>
      </c>
      <c r="E9" s="156">
        <v>3</v>
      </c>
      <c r="F9" s="156">
        <v>28</v>
      </c>
      <c r="G9" s="157">
        <v>17</v>
      </c>
      <c r="H9" s="156">
        <f>SUM(D9:G9)/2</f>
        <v>25</v>
      </c>
      <c r="I9" s="152">
        <v>9</v>
      </c>
      <c r="J9" s="152">
        <f>ROUND(H9+I9,0)</f>
        <v>34</v>
      </c>
    </row>
    <row r="10" spans="1:10" x14ac:dyDescent="0.3">
      <c r="A10" s="153">
        <v>2</v>
      </c>
      <c r="B10" s="154">
        <v>3002</v>
      </c>
      <c r="C10" s="183" t="s">
        <v>267</v>
      </c>
      <c r="D10" s="155" t="s">
        <v>190</v>
      </c>
      <c r="E10" s="156">
        <v>3</v>
      </c>
      <c r="F10" s="156">
        <v>23</v>
      </c>
      <c r="G10" s="157">
        <v>14</v>
      </c>
      <c r="H10" s="156">
        <f t="shared" ref="H10:H32" si="0">SUM(D10:G10)/2</f>
        <v>20</v>
      </c>
      <c r="I10" s="152">
        <v>5</v>
      </c>
      <c r="J10" s="152">
        <f t="shared" ref="J10:J32" si="1">ROUND(H10+I10,0)</f>
        <v>25</v>
      </c>
    </row>
    <row r="11" spans="1:10" x14ac:dyDescent="0.3">
      <c r="A11" s="153">
        <v>3</v>
      </c>
      <c r="B11" s="154">
        <v>3003</v>
      </c>
      <c r="C11" s="183" t="s">
        <v>268</v>
      </c>
      <c r="D11" s="155">
        <v>1</v>
      </c>
      <c r="E11" s="156">
        <v>3</v>
      </c>
      <c r="F11" s="156">
        <v>23</v>
      </c>
      <c r="G11" s="157">
        <v>16</v>
      </c>
      <c r="H11" s="156">
        <f t="shared" si="0"/>
        <v>21.5</v>
      </c>
      <c r="I11" s="152">
        <v>7</v>
      </c>
      <c r="J11" s="152">
        <f t="shared" si="1"/>
        <v>29</v>
      </c>
    </row>
    <row r="12" spans="1:10" x14ac:dyDescent="0.3">
      <c r="A12" s="153">
        <v>4</v>
      </c>
      <c r="B12" s="154">
        <v>3004</v>
      </c>
      <c r="C12" s="183" t="s">
        <v>269</v>
      </c>
      <c r="D12" s="155">
        <v>3</v>
      </c>
      <c r="E12" s="156">
        <v>0</v>
      </c>
      <c r="F12" s="156">
        <v>23</v>
      </c>
      <c r="G12" s="157">
        <v>16</v>
      </c>
      <c r="H12" s="156">
        <f t="shared" si="0"/>
        <v>21</v>
      </c>
      <c r="I12" s="152">
        <v>5</v>
      </c>
      <c r="J12" s="152">
        <f t="shared" si="1"/>
        <v>26</v>
      </c>
    </row>
    <row r="13" spans="1:10" x14ac:dyDescent="0.3">
      <c r="A13" s="153">
        <v>5</v>
      </c>
      <c r="B13" s="154">
        <v>3005</v>
      </c>
      <c r="C13" s="183" t="s">
        <v>270</v>
      </c>
      <c r="D13" s="155">
        <v>4</v>
      </c>
      <c r="E13" s="156">
        <v>5</v>
      </c>
      <c r="F13" s="156">
        <v>23</v>
      </c>
      <c r="G13" s="157">
        <v>14</v>
      </c>
      <c r="H13" s="156">
        <f t="shared" si="0"/>
        <v>23</v>
      </c>
      <c r="I13" s="152">
        <v>14</v>
      </c>
      <c r="J13" s="152">
        <f t="shared" si="1"/>
        <v>37</v>
      </c>
    </row>
    <row r="14" spans="1:10" x14ac:dyDescent="0.3">
      <c r="A14" s="153">
        <v>6</v>
      </c>
      <c r="B14" s="154">
        <v>3006</v>
      </c>
      <c r="C14" s="183" t="s">
        <v>271</v>
      </c>
      <c r="D14" s="155" t="s">
        <v>190</v>
      </c>
      <c r="E14" s="156">
        <v>0</v>
      </c>
      <c r="F14" s="156">
        <v>23</v>
      </c>
      <c r="G14" s="157">
        <v>18</v>
      </c>
      <c r="H14" s="156">
        <f t="shared" si="0"/>
        <v>20.5</v>
      </c>
      <c r="I14" s="152">
        <v>3</v>
      </c>
      <c r="J14" s="152">
        <f t="shared" si="1"/>
        <v>24</v>
      </c>
    </row>
    <row r="15" spans="1:10" x14ac:dyDescent="0.3">
      <c r="A15" s="153">
        <v>7</v>
      </c>
      <c r="B15" s="154">
        <v>3007</v>
      </c>
      <c r="C15" s="183" t="s">
        <v>272</v>
      </c>
      <c r="D15" s="155">
        <v>1</v>
      </c>
      <c r="E15" s="156">
        <v>4</v>
      </c>
      <c r="F15" s="156">
        <v>26</v>
      </c>
      <c r="G15" s="157">
        <v>14</v>
      </c>
      <c r="H15" s="156">
        <f t="shared" si="0"/>
        <v>22.5</v>
      </c>
      <c r="I15" s="152">
        <v>5</v>
      </c>
      <c r="J15" s="152">
        <f t="shared" si="1"/>
        <v>28</v>
      </c>
    </row>
    <row r="16" spans="1:10" x14ac:dyDescent="0.3">
      <c r="A16" s="152">
        <v>8</v>
      </c>
      <c r="B16" s="154">
        <v>3008</v>
      </c>
      <c r="C16" s="183" t="s">
        <v>273</v>
      </c>
      <c r="D16" s="155">
        <v>1</v>
      </c>
      <c r="E16" s="156">
        <v>0</v>
      </c>
      <c r="F16" s="156">
        <v>23</v>
      </c>
      <c r="G16" s="157">
        <v>15</v>
      </c>
      <c r="H16" s="156">
        <f t="shared" si="0"/>
        <v>19.5</v>
      </c>
      <c r="I16" s="152">
        <v>5</v>
      </c>
      <c r="J16" s="152">
        <f t="shared" si="1"/>
        <v>25</v>
      </c>
    </row>
    <row r="17" spans="1:10" x14ac:dyDescent="0.3">
      <c r="A17" s="152">
        <v>9</v>
      </c>
      <c r="B17" s="154">
        <v>3009</v>
      </c>
      <c r="C17" s="183" t="s">
        <v>274</v>
      </c>
      <c r="D17" s="155">
        <v>3</v>
      </c>
      <c r="E17" s="156">
        <v>5</v>
      </c>
      <c r="F17" s="156">
        <v>24</v>
      </c>
      <c r="G17" s="157">
        <v>15</v>
      </c>
      <c r="H17" s="156">
        <f t="shared" si="0"/>
        <v>23.5</v>
      </c>
      <c r="I17" s="152">
        <v>4</v>
      </c>
      <c r="J17" s="152">
        <f t="shared" si="1"/>
        <v>28</v>
      </c>
    </row>
    <row r="18" spans="1:10" x14ac:dyDescent="0.3">
      <c r="A18" s="152">
        <v>10</v>
      </c>
      <c r="B18" s="154">
        <v>3010</v>
      </c>
      <c r="C18" s="183" t="s">
        <v>275</v>
      </c>
      <c r="D18" s="155">
        <v>1</v>
      </c>
      <c r="E18" s="156">
        <v>0</v>
      </c>
      <c r="F18" s="156">
        <v>23</v>
      </c>
      <c r="G18" s="157">
        <v>17</v>
      </c>
      <c r="H18" s="156">
        <f t="shared" si="0"/>
        <v>20.5</v>
      </c>
      <c r="I18" s="152">
        <v>11</v>
      </c>
      <c r="J18" s="152">
        <f t="shared" si="1"/>
        <v>32</v>
      </c>
    </row>
    <row r="19" spans="1:10" x14ac:dyDescent="0.3">
      <c r="A19" s="152">
        <v>11</v>
      </c>
      <c r="B19" s="154">
        <v>3011</v>
      </c>
      <c r="C19" s="183" t="s">
        <v>276</v>
      </c>
      <c r="D19" s="155">
        <v>1</v>
      </c>
      <c r="E19" s="156">
        <v>4</v>
      </c>
      <c r="F19" s="156">
        <v>26</v>
      </c>
      <c r="G19" s="157">
        <v>15</v>
      </c>
      <c r="H19" s="156">
        <f t="shared" si="0"/>
        <v>23</v>
      </c>
      <c r="I19" s="152">
        <v>4</v>
      </c>
      <c r="J19" s="152">
        <f t="shared" si="1"/>
        <v>27</v>
      </c>
    </row>
    <row r="20" spans="1:10" x14ac:dyDescent="0.3">
      <c r="A20" s="152">
        <v>12</v>
      </c>
      <c r="B20" s="154">
        <v>3012</v>
      </c>
      <c r="C20" s="183" t="s">
        <v>277</v>
      </c>
      <c r="D20" s="155">
        <v>2</v>
      </c>
      <c r="E20" s="156">
        <v>4</v>
      </c>
      <c r="F20" s="156">
        <v>24</v>
      </c>
      <c r="G20" s="157">
        <v>16</v>
      </c>
      <c r="H20" s="156">
        <f t="shared" si="0"/>
        <v>23</v>
      </c>
      <c r="I20" s="152">
        <v>7</v>
      </c>
      <c r="J20" s="152">
        <f t="shared" si="1"/>
        <v>30</v>
      </c>
    </row>
    <row r="21" spans="1:10" x14ac:dyDescent="0.3">
      <c r="A21" s="152">
        <v>13</v>
      </c>
      <c r="B21" s="154">
        <v>3013</v>
      </c>
      <c r="C21" s="183" t="s">
        <v>278</v>
      </c>
      <c r="D21" s="155">
        <v>2</v>
      </c>
      <c r="E21" s="156">
        <v>3</v>
      </c>
      <c r="F21" s="156">
        <v>24</v>
      </c>
      <c r="G21" s="157">
        <v>16</v>
      </c>
      <c r="H21" s="156">
        <f t="shared" si="0"/>
        <v>22.5</v>
      </c>
      <c r="I21" s="152">
        <v>10</v>
      </c>
      <c r="J21" s="152">
        <f t="shared" si="1"/>
        <v>33</v>
      </c>
    </row>
    <row r="22" spans="1:10" x14ac:dyDescent="0.3">
      <c r="A22" s="152">
        <v>14</v>
      </c>
      <c r="B22" s="154">
        <v>3014</v>
      </c>
      <c r="C22" s="183" t="s">
        <v>279</v>
      </c>
      <c r="D22" s="155">
        <v>2</v>
      </c>
      <c r="E22" s="156">
        <v>0</v>
      </c>
      <c r="F22" s="156">
        <v>26</v>
      </c>
      <c r="G22" s="157">
        <v>17</v>
      </c>
      <c r="H22" s="156">
        <f t="shared" si="0"/>
        <v>22.5</v>
      </c>
      <c r="I22" s="152">
        <v>5</v>
      </c>
      <c r="J22" s="152">
        <f t="shared" si="1"/>
        <v>28</v>
      </c>
    </row>
    <row r="23" spans="1:10" x14ac:dyDescent="0.3">
      <c r="A23" s="152">
        <v>15</v>
      </c>
      <c r="B23" s="154">
        <v>3015</v>
      </c>
      <c r="C23" s="183" t="s">
        <v>280</v>
      </c>
      <c r="D23" s="155">
        <v>1</v>
      </c>
      <c r="E23" s="156">
        <v>3</v>
      </c>
      <c r="F23" s="156">
        <v>23</v>
      </c>
      <c r="G23" s="157">
        <v>17</v>
      </c>
      <c r="H23" s="156">
        <f t="shared" si="0"/>
        <v>22</v>
      </c>
      <c r="I23" s="152">
        <v>6</v>
      </c>
      <c r="J23" s="152">
        <f t="shared" si="1"/>
        <v>28</v>
      </c>
    </row>
    <row r="24" spans="1:10" x14ac:dyDescent="0.3">
      <c r="A24" s="152">
        <v>16</v>
      </c>
      <c r="B24" s="154">
        <v>3016</v>
      </c>
      <c r="C24" s="183" t="s">
        <v>281</v>
      </c>
      <c r="D24" s="155">
        <v>1</v>
      </c>
      <c r="E24" s="156">
        <v>3</v>
      </c>
      <c r="F24" s="156">
        <v>23</v>
      </c>
      <c r="G24" s="157">
        <v>15</v>
      </c>
      <c r="H24" s="156">
        <f t="shared" si="0"/>
        <v>21</v>
      </c>
      <c r="I24" s="152">
        <v>6</v>
      </c>
      <c r="J24" s="152">
        <f t="shared" si="1"/>
        <v>27</v>
      </c>
    </row>
    <row r="25" spans="1:10" x14ac:dyDescent="0.3">
      <c r="A25" s="152">
        <v>17</v>
      </c>
      <c r="B25" s="154">
        <v>3017</v>
      </c>
      <c r="C25" s="183" t="s">
        <v>282</v>
      </c>
      <c r="D25" s="155">
        <v>4</v>
      </c>
      <c r="E25" s="185">
        <v>4</v>
      </c>
      <c r="F25" s="185">
        <v>27</v>
      </c>
      <c r="G25" s="157">
        <v>18</v>
      </c>
      <c r="H25" s="156">
        <f t="shared" si="0"/>
        <v>26.5</v>
      </c>
      <c r="I25" s="152">
        <v>15</v>
      </c>
      <c r="J25" s="152">
        <f t="shared" si="1"/>
        <v>42</v>
      </c>
    </row>
    <row r="26" spans="1:10" x14ac:dyDescent="0.3">
      <c r="A26" s="152">
        <v>18</v>
      </c>
      <c r="B26" s="154">
        <v>3018</v>
      </c>
      <c r="C26" s="183" t="s">
        <v>283</v>
      </c>
      <c r="D26" s="155">
        <v>2</v>
      </c>
      <c r="E26" s="156">
        <v>3</v>
      </c>
      <c r="F26" s="156">
        <v>23</v>
      </c>
      <c r="G26" s="157">
        <v>17</v>
      </c>
      <c r="H26" s="156">
        <f t="shared" si="0"/>
        <v>22.5</v>
      </c>
      <c r="I26" s="152">
        <v>4</v>
      </c>
      <c r="J26" s="152">
        <f t="shared" si="1"/>
        <v>27</v>
      </c>
    </row>
    <row r="27" spans="1:10" x14ac:dyDescent="0.3">
      <c r="A27" s="152">
        <v>19</v>
      </c>
      <c r="B27" s="154">
        <v>3019</v>
      </c>
      <c r="C27" s="183" t="s">
        <v>284</v>
      </c>
      <c r="D27" s="155">
        <v>2</v>
      </c>
      <c r="E27" s="156">
        <v>3</v>
      </c>
      <c r="F27" s="156">
        <v>23</v>
      </c>
      <c r="G27" s="157">
        <v>16</v>
      </c>
      <c r="H27" s="156">
        <f t="shared" si="0"/>
        <v>22</v>
      </c>
      <c r="I27" s="152">
        <v>3</v>
      </c>
      <c r="J27" s="152">
        <f t="shared" si="1"/>
        <v>25</v>
      </c>
    </row>
    <row r="28" spans="1:10" x14ac:dyDescent="0.3">
      <c r="A28" s="152">
        <v>20</v>
      </c>
      <c r="B28" s="154">
        <v>3020</v>
      </c>
      <c r="C28" s="183" t="s">
        <v>285</v>
      </c>
      <c r="D28" s="155">
        <v>2</v>
      </c>
      <c r="E28" s="156">
        <v>0</v>
      </c>
      <c r="F28" s="156">
        <v>27</v>
      </c>
      <c r="G28" s="157">
        <v>18</v>
      </c>
      <c r="H28" s="156">
        <f t="shared" si="0"/>
        <v>23.5</v>
      </c>
      <c r="I28" s="152">
        <v>13</v>
      </c>
      <c r="J28" s="152">
        <f t="shared" si="1"/>
        <v>37</v>
      </c>
    </row>
    <row r="29" spans="1:10" x14ac:dyDescent="0.3">
      <c r="A29" s="152">
        <v>21</v>
      </c>
      <c r="B29" s="154">
        <v>3021</v>
      </c>
      <c r="C29" s="183" t="s">
        <v>286</v>
      </c>
      <c r="D29" s="158">
        <v>1</v>
      </c>
      <c r="E29" s="159">
        <v>0</v>
      </c>
      <c r="F29" s="159">
        <v>23</v>
      </c>
      <c r="G29" s="157">
        <v>16</v>
      </c>
      <c r="H29" s="156">
        <f t="shared" si="0"/>
        <v>20</v>
      </c>
      <c r="I29" s="152">
        <v>3</v>
      </c>
      <c r="J29" s="152">
        <f t="shared" si="1"/>
        <v>23</v>
      </c>
    </row>
    <row r="30" spans="1:10" x14ac:dyDescent="0.3">
      <c r="A30" s="152">
        <v>22</v>
      </c>
      <c r="B30" s="154">
        <v>3022</v>
      </c>
      <c r="C30" s="183" t="s">
        <v>287</v>
      </c>
      <c r="D30" s="158">
        <v>1</v>
      </c>
      <c r="E30" s="159">
        <v>3</v>
      </c>
      <c r="F30" s="159">
        <v>22</v>
      </c>
      <c r="G30" s="157">
        <v>14</v>
      </c>
      <c r="H30" s="156">
        <f t="shared" si="0"/>
        <v>20</v>
      </c>
      <c r="I30" s="152">
        <v>9</v>
      </c>
      <c r="J30" s="152">
        <f t="shared" si="1"/>
        <v>29</v>
      </c>
    </row>
    <row r="31" spans="1:10" x14ac:dyDescent="0.3">
      <c r="A31" s="152">
        <v>23</v>
      </c>
      <c r="B31" s="154">
        <v>3023</v>
      </c>
      <c r="C31" s="183" t="s">
        <v>288</v>
      </c>
      <c r="D31" s="158">
        <v>2</v>
      </c>
      <c r="E31" s="159">
        <v>3</v>
      </c>
      <c r="F31" s="159">
        <v>21</v>
      </c>
      <c r="G31" s="157">
        <v>14</v>
      </c>
      <c r="H31" s="156">
        <f t="shared" si="0"/>
        <v>20</v>
      </c>
      <c r="I31" s="152">
        <v>3</v>
      </c>
      <c r="J31" s="152">
        <f t="shared" si="1"/>
        <v>23</v>
      </c>
    </row>
    <row r="32" spans="1:10" x14ac:dyDescent="0.3">
      <c r="A32" s="152">
        <v>24</v>
      </c>
      <c r="B32" s="154">
        <v>3024</v>
      </c>
      <c r="C32" s="183" t="s">
        <v>289</v>
      </c>
      <c r="D32" s="158">
        <v>2</v>
      </c>
      <c r="E32" s="159">
        <v>0</v>
      </c>
      <c r="F32" s="159">
        <v>23</v>
      </c>
      <c r="G32" s="157">
        <v>16</v>
      </c>
      <c r="H32" s="156">
        <f t="shared" si="0"/>
        <v>20.5</v>
      </c>
      <c r="I32" s="152">
        <v>3</v>
      </c>
      <c r="J32" s="152">
        <f t="shared" si="1"/>
        <v>24</v>
      </c>
    </row>
  </sheetData>
  <mergeCells count="13">
    <mergeCell ref="H5:H6"/>
    <mergeCell ref="I5:I6"/>
    <mergeCell ref="J5:J6"/>
    <mergeCell ref="B1:J1"/>
    <mergeCell ref="B2:J2"/>
    <mergeCell ref="B3:J3"/>
    <mergeCell ref="G5:G6"/>
    <mergeCell ref="A4:J4"/>
    <mergeCell ref="A5:A7"/>
    <mergeCell ref="B5:B7"/>
    <mergeCell ref="C5:C7"/>
    <mergeCell ref="D5:E5"/>
    <mergeCell ref="F5:F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1"/>
  <sheetViews>
    <sheetView workbookViewId="0">
      <selection activeCell="A4" sqref="A4:R4"/>
    </sheetView>
  </sheetViews>
  <sheetFormatPr defaultColWidth="8.75" defaultRowHeight="14" x14ac:dyDescent="0.3"/>
  <cols>
    <col min="1" max="1" width="8.75" style="151"/>
    <col min="2" max="2" width="12" style="151" bestFit="1" customWidth="1"/>
    <col min="3" max="3" width="30.25" style="151" bestFit="1" customWidth="1"/>
    <col min="4" max="18" width="7.5" style="151" customWidth="1"/>
    <col min="19" max="16384" width="8.75" style="151"/>
  </cols>
  <sheetData>
    <row r="1" spans="1:18" ht="18.5" x14ac:dyDescent="0.45">
      <c r="B1" s="319" t="s">
        <v>179</v>
      </c>
      <c r="C1" s="319"/>
      <c r="D1" s="319"/>
      <c r="E1" s="319"/>
      <c r="F1" s="319"/>
      <c r="G1" s="319"/>
      <c r="H1" s="319"/>
      <c r="I1" s="319"/>
      <c r="J1" s="319"/>
      <c r="K1" s="319"/>
      <c r="L1" s="319"/>
      <c r="M1" s="319"/>
      <c r="N1" s="319"/>
      <c r="O1" s="319"/>
      <c r="P1" s="319"/>
      <c r="Q1" s="319"/>
      <c r="R1" s="319"/>
    </row>
    <row r="2" spans="1:18" x14ac:dyDescent="0.3">
      <c r="B2" s="327" t="s">
        <v>292</v>
      </c>
      <c r="C2" s="320"/>
      <c r="D2" s="320"/>
      <c r="E2" s="320"/>
      <c r="F2" s="320"/>
      <c r="G2" s="320"/>
      <c r="H2" s="320"/>
      <c r="I2" s="320"/>
      <c r="J2" s="320"/>
      <c r="K2" s="320"/>
      <c r="L2" s="320"/>
      <c r="M2" s="320"/>
      <c r="N2" s="320"/>
      <c r="O2" s="320"/>
      <c r="P2" s="320"/>
      <c r="Q2" s="320"/>
      <c r="R2" s="320"/>
    </row>
    <row r="3" spans="1:18" x14ac:dyDescent="0.3">
      <c r="B3" s="320" t="s">
        <v>290</v>
      </c>
      <c r="C3" s="320"/>
      <c r="D3" s="320"/>
      <c r="E3" s="320"/>
      <c r="F3" s="320"/>
      <c r="G3" s="320"/>
      <c r="H3" s="320"/>
      <c r="I3" s="320"/>
      <c r="J3" s="320"/>
      <c r="K3" s="320"/>
      <c r="L3" s="320"/>
      <c r="M3" s="320"/>
      <c r="N3" s="320"/>
      <c r="O3" s="320"/>
      <c r="P3" s="320"/>
      <c r="Q3" s="320"/>
      <c r="R3" s="320"/>
    </row>
    <row r="4" spans="1:18" x14ac:dyDescent="0.3">
      <c r="A4" s="328" t="s">
        <v>291</v>
      </c>
      <c r="B4" s="328"/>
      <c r="C4" s="328"/>
      <c r="D4" s="328"/>
      <c r="E4" s="328"/>
      <c r="F4" s="328"/>
      <c r="G4" s="328"/>
      <c r="H4" s="328"/>
      <c r="I4" s="328"/>
      <c r="J4" s="328"/>
      <c r="K4" s="328"/>
      <c r="L4" s="328"/>
      <c r="M4" s="328"/>
      <c r="N4" s="328"/>
      <c r="O4" s="328"/>
      <c r="P4" s="328"/>
      <c r="Q4" s="328"/>
      <c r="R4" s="328"/>
    </row>
    <row r="5" spans="1:18" x14ac:dyDescent="0.3">
      <c r="A5" s="329" t="s">
        <v>191</v>
      </c>
      <c r="B5" s="329"/>
      <c r="C5" s="329"/>
      <c r="D5" s="329"/>
      <c r="E5" s="329"/>
      <c r="F5" s="329"/>
      <c r="G5" s="329"/>
      <c r="H5" s="329"/>
      <c r="I5" s="329"/>
      <c r="J5" s="329"/>
      <c r="K5" s="329"/>
      <c r="L5" s="329"/>
      <c r="M5" s="329"/>
      <c r="N5" s="329"/>
      <c r="O5" s="329"/>
      <c r="P5" s="329"/>
      <c r="Q5" s="329"/>
      <c r="R5" s="329"/>
    </row>
    <row r="6" spans="1:18" x14ac:dyDescent="0.3">
      <c r="A6" s="325" t="s">
        <v>3</v>
      </c>
      <c r="B6" s="325"/>
      <c r="C6" s="325"/>
      <c r="D6" s="184" t="s">
        <v>23</v>
      </c>
      <c r="E6" s="184" t="s">
        <v>24</v>
      </c>
      <c r="F6" s="184" t="s">
        <v>25</v>
      </c>
      <c r="G6" s="184" t="s">
        <v>26</v>
      </c>
      <c r="H6" s="184" t="s">
        <v>26</v>
      </c>
      <c r="I6" s="184" t="s">
        <v>27</v>
      </c>
      <c r="J6" s="184" t="s">
        <v>25</v>
      </c>
      <c r="K6" s="184" t="s">
        <v>25</v>
      </c>
      <c r="L6" s="184" t="s">
        <v>25</v>
      </c>
      <c r="M6" s="184" t="s">
        <v>27</v>
      </c>
      <c r="N6" s="184" t="s">
        <v>27</v>
      </c>
      <c r="O6" s="184" t="s">
        <v>27</v>
      </c>
      <c r="P6" s="184" t="s">
        <v>26</v>
      </c>
      <c r="Q6" s="184" t="s">
        <v>26</v>
      </c>
      <c r="R6" s="184" t="s">
        <v>28</v>
      </c>
    </row>
    <row r="7" spans="1:18" ht="14.5" x14ac:dyDescent="0.35">
      <c r="A7" s="326" t="s">
        <v>192</v>
      </c>
      <c r="B7" s="326"/>
      <c r="C7" s="326"/>
      <c r="D7" s="161">
        <v>1</v>
      </c>
      <c r="E7" s="161">
        <v>2</v>
      </c>
      <c r="F7" s="161">
        <v>3</v>
      </c>
      <c r="G7" s="161">
        <v>4</v>
      </c>
      <c r="H7" s="161">
        <v>5</v>
      </c>
      <c r="I7" s="161">
        <v>6</v>
      </c>
      <c r="J7" s="161">
        <v>7</v>
      </c>
      <c r="K7" s="161">
        <v>8</v>
      </c>
      <c r="L7" s="161">
        <v>9</v>
      </c>
      <c r="M7" s="161">
        <v>10</v>
      </c>
      <c r="N7" s="161">
        <v>11</v>
      </c>
      <c r="O7" s="161">
        <v>12</v>
      </c>
      <c r="P7" s="162" t="s">
        <v>193</v>
      </c>
      <c r="Q7" s="162" t="s">
        <v>194</v>
      </c>
      <c r="R7" s="162"/>
    </row>
    <row r="8" spans="1:18" x14ac:dyDescent="0.3">
      <c r="A8" s="153">
        <v>1</v>
      </c>
      <c r="B8" s="154">
        <v>3001</v>
      </c>
      <c r="C8" s="183" t="s">
        <v>266</v>
      </c>
      <c r="D8" s="160"/>
      <c r="E8" s="160"/>
      <c r="F8" s="160">
        <v>1</v>
      </c>
      <c r="G8" s="160">
        <v>1</v>
      </c>
      <c r="H8" s="160">
        <v>1</v>
      </c>
      <c r="I8" s="160"/>
      <c r="J8" s="160">
        <v>6</v>
      </c>
      <c r="K8" s="160">
        <v>2</v>
      </c>
      <c r="L8" s="160"/>
      <c r="M8" s="160"/>
      <c r="N8" s="160">
        <v>5</v>
      </c>
      <c r="O8" s="160"/>
      <c r="P8" s="160">
        <v>3</v>
      </c>
      <c r="Q8" s="160"/>
      <c r="R8" s="160">
        <v>11</v>
      </c>
    </row>
    <row r="9" spans="1:18" x14ac:dyDescent="0.3">
      <c r="A9" s="153">
        <v>2</v>
      </c>
      <c r="B9" s="154">
        <v>3002</v>
      </c>
      <c r="C9" s="183" t="s">
        <v>267</v>
      </c>
      <c r="D9" s="160"/>
      <c r="E9" s="160"/>
      <c r="F9" s="160"/>
      <c r="G9" s="160">
        <v>2</v>
      </c>
      <c r="H9" s="160"/>
      <c r="I9" s="160"/>
      <c r="J9" s="160">
        <v>3</v>
      </c>
      <c r="K9" s="160"/>
      <c r="L9" s="160"/>
      <c r="M9" s="160"/>
      <c r="N9" s="160">
        <v>7</v>
      </c>
      <c r="O9" s="160">
        <v>2</v>
      </c>
      <c r="P9" s="160">
        <v>3</v>
      </c>
      <c r="Q9" s="160"/>
      <c r="R9" s="160">
        <v>9</v>
      </c>
    </row>
    <row r="10" spans="1:18" x14ac:dyDescent="0.3">
      <c r="A10" s="153">
        <v>3</v>
      </c>
      <c r="B10" s="154">
        <v>3003</v>
      </c>
      <c r="C10" s="183" t="s">
        <v>268</v>
      </c>
      <c r="D10" s="160"/>
      <c r="E10" s="160"/>
      <c r="F10" s="160"/>
      <c r="G10" s="160"/>
      <c r="H10" s="160"/>
      <c r="I10" s="160"/>
      <c r="J10" s="160"/>
      <c r="K10" s="160"/>
      <c r="L10" s="160"/>
      <c r="M10" s="160">
        <v>2</v>
      </c>
      <c r="N10" s="160">
        <v>7</v>
      </c>
      <c r="O10" s="160"/>
      <c r="P10" s="160">
        <v>2</v>
      </c>
      <c r="Q10" s="160"/>
      <c r="R10" s="160">
        <v>5</v>
      </c>
    </row>
    <row r="11" spans="1:18" x14ac:dyDescent="0.3">
      <c r="A11" s="153">
        <v>4</v>
      </c>
      <c r="B11" s="154">
        <v>3004</v>
      </c>
      <c r="C11" s="183" t="s">
        <v>269</v>
      </c>
      <c r="D11" s="160">
        <v>0</v>
      </c>
      <c r="E11" s="160"/>
      <c r="F11" s="160">
        <v>0</v>
      </c>
      <c r="G11" s="160"/>
      <c r="H11" s="160"/>
      <c r="I11" s="160"/>
      <c r="J11" s="160"/>
      <c r="K11" s="160"/>
      <c r="L11" s="160"/>
      <c r="M11" s="160">
        <v>2</v>
      </c>
      <c r="N11" s="160">
        <v>3</v>
      </c>
      <c r="O11" s="160"/>
      <c r="P11" s="160">
        <v>3</v>
      </c>
      <c r="Q11" s="160"/>
      <c r="R11" s="160">
        <v>5</v>
      </c>
    </row>
    <row r="12" spans="1:18" x14ac:dyDescent="0.3">
      <c r="A12" s="153">
        <v>5</v>
      </c>
      <c r="B12" s="154">
        <v>3005</v>
      </c>
      <c r="C12" s="183" t="s">
        <v>270</v>
      </c>
      <c r="D12" s="160"/>
      <c r="E12" s="160"/>
      <c r="F12" s="160">
        <v>4</v>
      </c>
      <c r="G12" s="160">
        <v>2</v>
      </c>
      <c r="H12" s="160"/>
      <c r="I12" s="160">
        <v>3</v>
      </c>
      <c r="J12" s="160"/>
      <c r="K12" s="160">
        <v>2</v>
      </c>
      <c r="L12" s="160">
        <v>0</v>
      </c>
      <c r="M12" s="160">
        <v>6</v>
      </c>
      <c r="N12" s="160">
        <v>6</v>
      </c>
      <c r="O12" s="160"/>
      <c r="P12" s="160">
        <v>1</v>
      </c>
      <c r="Q12" s="160"/>
      <c r="R12" s="160">
        <v>11</v>
      </c>
    </row>
    <row r="13" spans="1:18" x14ac:dyDescent="0.3">
      <c r="A13" s="153">
        <v>6</v>
      </c>
      <c r="B13" s="154">
        <v>3006</v>
      </c>
      <c r="C13" s="183" t="s">
        <v>271</v>
      </c>
      <c r="D13" s="160"/>
      <c r="E13" s="160"/>
      <c r="F13" s="160">
        <v>1</v>
      </c>
      <c r="G13" s="160">
        <v>1</v>
      </c>
      <c r="H13" s="160"/>
      <c r="I13" s="160">
        <v>2</v>
      </c>
      <c r="J13" s="160"/>
      <c r="K13" s="160">
        <v>1</v>
      </c>
      <c r="L13" s="160">
        <v>0</v>
      </c>
      <c r="M13" s="160">
        <v>2</v>
      </c>
      <c r="N13" s="160">
        <v>1</v>
      </c>
      <c r="O13" s="160"/>
      <c r="P13" s="160"/>
      <c r="Q13" s="160">
        <v>2</v>
      </c>
      <c r="R13" s="160">
        <v>7</v>
      </c>
    </row>
    <row r="14" spans="1:18" x14ac:dyDescent="0.3">
      <c r="A14" s="153">
        <v>7</v>
      </c>
      <c r="B14" s="154">
        <v>3007</v>
      </c>
      <c r="C14" s="183" t="s">
        <v>272</v>
      </c>
      <c r="D14" s="160"/>
      <c r="E14" s="160"/>
      <c r="F14" s="160">
        <v>3</v>
      </c>
      <c r="G14" s="160"/>
      <c r="H14" s="160"/>
      <c r="I14" s="160">
        <v>1</v>
      </c>
      <c r="J14" s="160"/>
      <c r="K14" s="160">
        <v>4</v>
      </c>
      <c r="L14" s="160"/>
      <c r="M14" s="160"/>
      <c r="N14" s="160">
        <v>3</v>
      </c>
      <c r="O14" s="160"/>
      <c r="P14" s="160"/>
      <c r="Q14" s="160">
        <v>8</v>
      </c>
      <c r="R14" s="160">
        <v>12</v>
      </c>
    </row>
    <row r="15" spans="1:18" x14ac:dyDescent="0.3">
      <c r="A15" s="152">
        <v>8</v>
      </c>
      <c r="B15" s="154">
        <v>3008</v>
      </c>
      <c r="C15" s="183" t="s">
        <v>273</v>
      </c>
      <c r="D15" s="160"/>
      <c r="E15" s="160"/>
      <c r="F15" s="160"/>
      <c r="G15" s="160"/>
      <c r="H15" s="160"/>
      <c r="I15" s="160"/>
      <c r="J15" s="160"/>
      <c r="K15" s="160"/>
      <c r="L15" s="160"/>
      <c r="M15" s="160"/>
      <c r="N15" s="160">
        <v>5</v>
      </c>
      <c r="O15" s="160"/>
      <c r="P15" s="160"/>
      <c r="Q15" s="160"/>
      <c r="R15" s="160">
        <v>5</v>
      </c>
    </row>
    <row r="16" spans="1:18" x14ac:dyDescent="0.3">
      <c r="A16" s="152">
        <v>9</v>
      </c>
      <c r="B16" s="154">
        <v>3009</v>
      </c>
      <c r="C16" s="183" t="s">
        <v>274</v>
      </c>
      <c r="D16" s="160"/>
      <c r="E16" s="160"/>
      <c r="F16" s="160">
        <v>3</v>
      </c>
      <c r="G16" s="160"/>
      <c r="H16" s="160"/>
      <c r="I16" s="160">
        <v>2</v>
      </c>
      <c r="J16" s="160">
        <v>5</v>
      </c>
      <c r="K16" s="160"/>
      <c r="L16" s="160">
        <v>2</v>
      </c>
      <c r="M16" s="160"/>
      <c r="N16" s="160">
        <v>6</v>
      </c>
      <c r="O16" s="160"/>
      <c r="P16" s="160"/>
      <c r="Q16" s="160">
        <v>0</v>
      </c>
      <c r="R16" s="160">
        <v>15</v>
      </c>
    </row>
    <row r="17" spans="1:18" x14ac:dyDescent="0.3">
      <c r="A17" s="152">
        <v>10</v>
      </c>
      <c r="B17" s="154">
        <v>3010</v>
      </c>
      <c r="C17" s="183" t="s">
        <v>275</v>
      </c>
      <c r="D17" s="160"/>
      <c r="E17" s="160"/>
      <c r="F17" s="160">
        <v>1</v>
      </c>
      <c r="G17" s="160">
        <v>1</v>
      </c>
      <c r="H17" s="160"/>
      <c r="I17" s="160">
        <v>1</v>
      </c>
      <c r="J17" s="160"/>
      <c r="K17" s="160"/>
      <c r="L17" s="160">
        <v>0</v>
      </c>
      <c r="M17" s="160"/>
      <c r="N17" s="160">
        <v>2</v>
      </c>
      <c r="O17" s="160">
        <v>1</v>
      </c>
      <c r="P17" s="160"/>
      <c r="Q17" s="160">
        <v>0</v>
      </c>
      <c r="R17" s="160">
        <v>6</v>
      </c>
    </row>
    <row r="18" spans="1:18" x14ac:dyDescent="0.3">
      <c r="A18" s="152">
        <v>11</v>
      </c>
      <c r="B18" s="154">
        <v>3011</v>
      </c>
      <c r="C18" s="183" t="s">
        <v>276</v>
      </c>
      <c r="D18" s="160"/>
      <c r="E18" s="160"/>
      <c r="F18" s="160">
        <v>1</v>
      </c>
      <c r="G18" s="160">
        <v>0</v>
      </c>
      <c r="H18" s="160"/>
      <c r="I18" s="160">
        <v>1</v>
      </c>
      <c r="J18" s="160">
        <v>1</v>
      </c>
      <c r="K18" s="160"/>
      <c r="L18" s="160"/>
      <c r="M18" s="160"/>
      <c r="N18" s="160">
        <v>2</v>
      </c>
      <c r="O18" s="160">
        <v>2</v>
      </c>
      <c r="P18" s="160"/>
      <c r="Q18" s="160">
        <v>10</v>
      </c>
      <c r="R18" s="160">
        <v>7</v>
      </c>
    </row>
    <row r="19" spans="1:18" x14ac:dyDescent="0.3">
      <c r="A19" s="152">
        <v>12</v>
      </c>
      <c r="B19" s="154">
        <v>3012</v>
      </c>
      <c r="C19" s="183" t="s">
        <v>277</v>
      </c>
      <c r="D19" s="160"/>
      <c r="E19" s="160"/>
      <c r="F19" s="160">
        <v>4</v>
      </c>
      <c r="G19" s="160">
        <v>1</v>
      </c>
      <c r="H19" s="160"/>
      <c r="I19" s="160">
        <v>2</v>
      </c>
      <c r="J19" s="160">
        <v>2</v>
      </c>
      <c r="K19" s="160"/>
      <c r="L19" s="160"/>
      <c r="M19" s="160"/>
      <c r="N19" s="160">
        <v>2</v>
      </c>
      <c r="O19" s="160"/>
      <c r="P19" s="160">
        <v>0</v>
      </c>
      <c r="Q19" s="160"/>
      <c r="R19" s="160">
        <v>11</v>
      </c>
    </row>
    <row r="20" spans="1:18" x14ac:dyDescent="0.3">
      <c r="A20" s="152">
        <v>13</v>
      </c>
      <c r="B20" s="154">
        <v>3013</v>
      </c>
      <c r="C20" s="183" t="s">
        <v>278</v>
      </c>
      <c r="D20" s="160"/>
      <c r="E20" s="160"/>
      <c r="F20" s="160">
        <v>4</v>
      </c>
      <c r="G20" s="160">
        <v>1</v>
      </c>
      <c r="H20" s="160"/>
      <c r="I20" s="160">
        <v>2</v>
      </c>
      <c r="J20" s="160"/>
      <c r="K20" s="160"/>
      <c r="L20" s="160"/>
      <c r="M20" s="160"/>
      <c r="N20" s="160">
        <v>7</v>
      </c>
      <c r="O20" s="160">
        <v>6</v>
      </c>
      <c r="P20" s="160"/>
      <c r="Q20" s="160">
        <v>10</v>
      </c>
      <c r="R20" s="160">
        <v>9</v>
      </c>
    </row>
    <row r="21" spans="1:18" x14ac:dyDescent="0.3">
      <c r="A21" s="152">
        <v>14</v>
      </c>
      <c r="B21" s="154">
        <v>3014</v>
      </c>
      <c r="C21" s="183" t="s">
        <v>279</v>
      </c>
      <c r="D21" s="160"/>
      <c r="E21" s="160"/>
      <c r="F21" s="160"/>
      <c r="G21" s="160">
        <v>1</v>
      </c>
      <c r="H21" s="160">
        <v>1</v>
      </c>
      <c r="I21" s="160">
        <v>2</v>
      </c>
      <c r="J21" s="160">
        <v>2</v>
      </c>
      <c r="K21" s="160"/>
      <c r="L21" s="160"/>
      <c r="M21" s="160"/>
      <c r="N21" s="160">
        <v>5</v>
      </c>
      <c r="O21" s="160">
        <v>3</v>
      </c>
      <c r="P21" s="160"/>
      <c r="Q21" s="160"/>
      <c r="R21" s="160">
        <v>7</v>
      </c>
    </row>
    <row r="22" spans="1:18" x14ac:dyDescent="0.3">
      <c r="A22" s="152">
        <v>15</v>
      </c>
      <c r="B22" s="154">
        <v>3015</v>
      </c>
      <c r="C22" s="183" t="s">
        <v>280</v>
      </c>
      <c r="D22" s="160"/>
      <c r="E22" s="160"/>
      <c r="F22" s="160">
        <v>1</v>
      </c>
      <c r="G22" s="160">
        <v>0</v>
      </c>
      <c r="H22" s="160"/>
      <c r="I22" s="160">
        <v>2</v>
      </c>
      <c r="J22" s="160">
        <v>5</v>
      </c>
      <c r="K22" s="160"/>
      <c r="L22" s="160"/>
      <c r="M22" s="160"/>
      <c r="N22" s="160">
        <v>7</v>
      </c>
      <c r="O22" s="160">
        <v>2</v>
      </c>
      <c r="P22" s="160">
        <v>1</v>
      </c>
      <c r="Q22" s="160"/>
      <c r="R22" s="160">
        <v>11</v>
      </c>
    </row>
    <row r="23" spans="1:18" x14ac:dyDescent="0.3">
      <c r="A23" s="152">
        <v>16</v>
      </c>
      <c r="B23" s="154">
        <v>3016</v>
      </c>
      <c r="C23" s="183" t="s">
        <v>281</v>
      </c>
      <c r="D23" s="160"/>
      <c r="E23" s="160"/>
      <c r="F23" s="160">
        <v>1</v>
      </c>
      <c r="G23" s="160">
        <v>0</v>
      </c>
      <c r="H23" s="160"/>
      <c r="I23" s="160">
        <v>1</v>
      </c>
      <c r="J23" s="160">
        <v>3</v>
      </c>
      <c r="K23" s="160"/>
      <c r="L23" s="160"/>
      <c r="M23" s="160">
        <v>0</v>
      </c>
      <c r="N23" s="160">
        <v>7</v>
      </c>
      <c r="O23" s="160"/>
      <c r="P23" s="160">
        <v>1</v>
      </c>
      <c r="Q23" s="160"/>
      <c r="R23" s="160">
        <v>9</v>
      </c>
    </row>
    <row r="24" spans="1:18" x14ac:dyDescent="0.3">
      <c r="A24" s="152">
        <v>17</v>
      </c>
      <c r="B24" s="154">
        <v>3017</v>
      </c>
      <c r="C24" s="183" t="s">
        <v>282</v>
      </c>
      <c r="D24" s="160">
        <v>3</v>
      </c>
      <c r="E24" s="160"/>
      <c r="F24" s="160">
        <v>4</v>
      </c>
      <c r="G24" s="160"/>
      <c r="H24" s="160"/>
      <c r="I24" s="160">
        <v>1</v>
      </c>
      <c r="J24" s="160">
        <v>3</v>
      </c>
      <c r="K24" s="160"/>
      <c r="L24" s="160">
        <v>3</v>
      </c>
      <c r="M24" s="160"/>
      <c r="N24" s="160">
        <v>4</v>
      </c>
      <c r="O24" s="160">
        <v>2</v>
      </c>
      <c r="P24" s="160"/>
      <c r="Q24" s="160"/>
      <c r="R24" s="160">
        <v>15</v>
      </c>
    </row>
    <row r="25" spans="1:18" x14ac:dyDescent="0.3">
      <c r="A25" s="152">
        <v>18</v>
      </c>
      <c r="B25" s="154">
        <v>3018</v>
      </c>
      <c r="C25" s="183" t="s">
        <v>283</v>
      </c>
      <c r="D25" s="160">
        <v>2</v>
      </c>
      <c r="E25" s="160"/>
      <c r="F25" s="160">
        <v>0</v>
      </c>
      <c r="G25" s="160"/>
      <c r="H25" s="160"/>
      <c r="I25" s="160"/>
      <c r="J25" s="160"/>
      <c r="K25" s="160"/>
      <c r="L25" s="160">
        <v>2</v>
      </c>
      <c r="M25" s="160"/>
      <c r="N25" s="160">
        <v>1</v>
      </c>
      <c r="O25" s="160"/>
      <c r="P25" s="160"/>
      <c r="Q25" s="160"/>
      <c r="R25" s="160">
        <v>7</v>
      </c>
    </row>
    <row r="26" spans="1:18" x14ac:dyDescent="0.3">
      <c r="A26" s="152">
        <v>19</v>
      </c>
      <c r="B26" s="154">
        <v>3019</v>
      </c>
      <c r="C26" s="183" t="s">
        <v>284</v>
      </c>
      <c r="D26" s="160"/>
      <c r="E26" s="160"/>
      <c r="F26" s="160">
        <v>2</v>
      </c>
      <c r="G26" s="160"/>
      <c r="H26" s="160"/>
      <c r="I26" s="160">
        <v>1</v>
      </c>
      <c r="J26" s="160"/>
      <c r="K26" s="160"/>
      <c r="L26" s="160"/>
      <c r="M26" s="160"/>
      <c r="N26" s="160"/>
      <c r="O26" s="160"/>
      <c r="P26" s="160"/>
      <c r="Q26" s="160"/>
      <c r="R26" s="160">
        <v>7</v>
      </c>
    </row>
    <row r="27" spans="1:18" x14ac:dyDescent="0.3">
      <c r="A27" s="152">
        <v>20</v>
      </c>
      <c r="B27" s="154">
        <v>3020</v>
      </c>
      <c r="C27" s="183" t="s">
        <v>285</v>
      </c>
      <c r="D27" s="160">
        <v>2</v>
      </c>
      <c r="E27" s="160"/>
      <c r="F27" s="160"/>
      <c r="G27" s="160">
        <v>2</v>
      </c>
      <c r="H27" s="160">
        <v>0</v>
      </c>
      <c r="I27" s="160"/>
      <c r="J27" s="160">
        <v>2</v>
      </c>
      <c r="K27" s="160">
        <v>2</v>
      </c>
      <c r="L27" s="160"/>
      <c r="M27" s="160"/>
      <c r="N27" s="160">
        <v>4</v>
      </c>
      <c r="O27" s="160">
        <v>4</v>
      </c>
      <c r="P27" s="160">
        <v>3</v>
      </c>
      <c r="Q27" s="160"/>
      <c r="R27" s="160">
        <v>9</v>
      </c>
    </row>
    <row r="28" spans="1:18" x14ac:dyDescent="0.3">
      <c r="A28" s="152">
        <v>21</v>
      </c>
      <c r="B28" s="154">
        <v>3021</v>
      </c>
      <c r="C28" s="183" t="s">
        <v>286</v>
      </c>
      <c r="D28" s="160"/>
      <c r="E28" s="160"/>
      <c r="F28" s="160">
        <v>1</v>
      </c>
      <c r="G28" s="160">
        <v>0</v>
      </c>
      <c r="H28" s="160"/>
      <c r="I28" s="160"/>
      <c r="J28" s="160"/>
      <c r="K28" s="160">
        <v>0</v>
      </c>
      <c r="L28" s="160"/>
      <c r="M28" s="160"/>
      <c r="N28" s="160"/>
      <c r="O28" s="160"/>
      <c r="P28" s="160"/>
      <c r="Q28" s="160"/>
      <c r="R28" s="160">
        <v>6</v>
      </c>
    </row>
    <row r="29" spans="1:18" x14ac:dyDescent="0.3">
      <c r="A29" s="152">
        <v>22</v>
      </c>
      <c r="B29" s="154">
        <v>3022</v>
      </c>
      <c r="C29" s="183" t="s">
        <v>287</v>
      </c>
      <c r="D29" s="160"/>
      <c r="E29" s="160">
        <v>2</v>
      </c>
      <c r="F29" s="160">
        <v>4</v>
      </c>
      <c r="G29" s="160"/>
      <c r="H29" s="160"/>
      <c r="I29" s="160">
        <v>4</v>
      </c>
      <c r="J29" s="160"/>
      <c r="K29" s="160">
        <v>5</v>
      </c>
      <c r="L29" s="160">
        <v>2</v>
      </c>
      <c r="M29" s="160"/>
      <c r="N29" s="160"/>
      <c r="O29" s="160"/>
      <c r="P29" s="160">
        <v>1</v>
      </c>
      <c r="Q29" s="160"/>
      <c r="R29" s="160">
        <v>16</v>
      </c>
    </row>
    <row r="30" spans="1:18" x14ac:dyDescent="0.3">
      <c r="A30" s="152">
        <v>23</v>
      </c>
      <c r="B30" s="154">
        <v>3023</v>
      </c>
      <c r="C30" s="183" t="s">
        <v>288</v>
      </c>
      <c r="D30" s="160"/>
      <c r="E30" s="160"/>
      <c r="F30" s="160">
        <v>0</v>
      </c>
      <c r="G30" s="160">
        <v>0</v>
      </c>
      <c r="H30" s="160"/>
      <c r="I30" s="160">
        <v>0</v>
      </c>
      <c r="J30" s="160"/>
      <c r="K30" s="160"/>
      <c r="L30" s="160"/>
      <c r="M30" s="160"/>
      <c r="N30" s="160">
        <v>1</v>
      </c>
      <c r="O30" s="160"/>
      <c r="P30" s="160"/>
      <c r="Q30" s="160"/>
      <c r="R30" s="160">
        <v>5</v>
      </c>
    </row>
    <row r="31" spans="1:18" x14ac:dyDescent="0.3">
      <c r="A31" s="152">
        <v>24</v>
      </c>
      <c r="B31" s="154">
        <v>3024</v>
      </c>
      <c r="C31" s="183" t="s">
        <v>289</v>
      </c>
      <c r="D31" s="160"/>
      <c r="E31" s="160"/>
      <c r="F31" s="160"/>
      <c r="G31" s="160"/>
      <c r="H31" s="160"/>
      <c r="I31" s="160"/>
      <c r="J31" s="160"/>
      <c r="K31" s="160">
        <v>0</v>
      </c>
      <c r="L31" s="160">
        <v>2</v>
      </c>
      <c r="M31" s="160">
        <v>0</v>
      </c>
      <c r="N31" s="160">
        <v>2</v>
      </c>
      <c r="O31" s="160">
        <v>1</v>
      </c>
      <c r="P31" s="160">
        <v>0</v>
      </c>
      <c r="Q31" s="160"/>
      <c r="R31" s="160">
        <v>7</v>
      </c>
    </row>
  </sheetData>
  <mergeCells count="7">
    <mergeCell ref="A6:C6"/>
    <mergeCell ref="A7:C7"/>
    <mergeCell ref="B1:R1"/>
    <mergeCell ref="B2:R2"/>
    <mergeCell ref="B3:R3"/>
    <mergeCell ref="A4:R4"/>
    <mergeCell ref="A5:R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election activeCell="N29" sqref="N29"/>
    </sheetView>
  </sheetViews>
  <sheetFormatPr defaultColWidth="8.75" defaultRowHeight="14" x14ac:dyDescent="0.3"/>
  <cols>
    <col min="1" max="1" width="4.75" style="151" customWidth="1"/>
    <col min="2" max="2" width="15.25" style="151" customWidth="1"/>
    <col min="3" max="3" width="33.25" style="151" bestFit="1" customWidth="1"/>
    <col min="4" max="8" width="12.08203125" style="151" customWidth="1"/>
    <col min="9" max="16384" width="8.75" style="151"/>
  </cols>
  <sheetData>
    <row r="1" spans="1:9" ht="18.5" x14ac:dyDescent="0.45">
      <c r="A1" s="319" t="s">
        <v>179</v>
      </c>
      <c r="B1" s="319"/>
      <c r="C1" s="319"/>
      <c r="D1" s="319"/>
      <c r="E1" s="319"/>
      <c r="F1" s="319"/>
      <c r="G1" s="319"/>
      <c r="H1" s="319"/>
    </row>
    <row r="2" spans="1:9" x14ac:dyDescent="0.3">
      <c r="A2" s="328" t="s">
        <v>292</v>
      </c>
      <c r="B2" s="328"/>
      <c r="C2" s="328"/>
      <c r="D2" s="328"/>
      <c r="E2" s="328"/>
      <c r="F2" s="328"/>
      <c r="G2" s="328"/>
      <c r="H2" s="328"/>
    </row>
    <row r="3" spans="1:9" x14ac:dyDescent="0.3">
      <c r="A3" s="328" t="s">
        <v>290</v>
      </c>
      <c r="B3" s="328"/>
      <c r="C3" s="328"/>
      <c r="D3" s="328"/>
      <c r="E3" s="328"/>
      <c r="F3" s="328"/>
      <c r="G3" s="328"/>
      <c r="H3" s="328"/>
    </row>
    <row r="4" spans="1:9" x14ac:dyDescent="0.3">
      <c r="A4" s="332" t="s">
        <v>291</v>
      </c>
      <c r="B4" s="332"/>
      <c r="C4" s="332"/>
      <c r="D4" s="332"/>
      <c r="E4" s="332"/>
      <c r="F4" s="332"/>
      <c r="G4" s="332"/>
      <c r="H4" s="332"/>
    </row>
    <row r="5" spans="1:9" ht="14.5" customHeight="1" x14ac:dyDescent="0.3">
      <c r="A5" s="333" t="s">
        <v>4</v>
      </c>
      <c r="B5" s="333" t="s">
        <v>195</v>
      </c>
      <c r="C5" s="333" t="s">
        <v>181</v>
      </c>
      <c r="D5" s="330" t="s">
        <v>3</v>
      </c>
      <c r="E5" s="331"/>
      <c r="F5" s="331"/>
      <c r="G5" s="331"/>
      <c r="H5" s="331"/>
      <c r="I5" s="331"/>
    </row>
    <row r="6" spans="1:9" ht="14.5" x14ac:dyDescent="0.3">
      <c r="A6" s="334"/>
      <c r="B6" s="334"/>
      <c r="C6" s="334"/>
      <c r="D6" s="163" t="s">
        <v>23</v>
      </c>
      <c r="E6" s="163" t="s">
        <v>24</v>
      </c>
      <c r="F6" s="163" t="s">
        <v>25</v>
      </c>
      <c r="G6" s="163" t="s">
        <v>26</v>
      </c>
      <c r="H6" s="163" t="s">
        <v>27</v>
      </c>
      <c r="I6" s="163" t="s">
        <v>28</v>
      </c>
    </row>
    <row r="7" spans="1:9" ht="14.5" x14ac:dyDescent="0.3">
      <c r="A7" s="335"/>
      <c r="B7" s="335"/>
      <c r="C7" s="335"/>
      <c r="D7" s="163">
        <v>20</v>
      </c>
      <c r="E7" s="163">
        <v>20</v>
      </c>
      <c r="F7" s="163">
        <v>20</v>
      </c>
      <c r="G7" s="163">
        <v>20</v>
      </c>
      <c r="H7" s="163">
        <v>20</v>
      </c>
      <c r="I7" s="163">
        <v>20</v>
      </c>
    </row>
    <row r="8" spans="1:9" x14ac:dyDescent="0.3">
      <c r="A8" s="160">
        <v>1</v>
      </c>
      <c r="B8" s="154">
        <v>3001</v>
      </c>
      <c r="C8" s="183" t="s">
        <v>266</v>
      </c>
      <c r="D8" s="160">
        <v>10</v>
      </c>
      <c r="E8" s="160">
        <v>9</v>
      </c>
      <c r="F8" s="160">
        <v>14</v>
      </c>
      <c r="G8" s="160">
        <v>10</v>
      </c>
      <c r="H8" s="160">
        <v>10</v>
      </c>
      <c r="I8" s="160">
        <v>11</v>
      </c>
    </row>
    <row r="9" spans="1:9" x14ac:dyDescent="0.3">
      <c r="A9" s="160">
        <v>2</v>
      </c>
      <c r="B9" s="154">
        <v>3002</v>
      </c>
      <c r="C9" s="183" t="s">
        <v>267</v>
      </c>
      <c r="D9" s="160">
        <v>9</v>
      </c>
      <c r="E9" s="160">
        <v>6</v>
      </c>
      <c r="F9" s="160">
        <v>8</v>
      </c>
      <c r="G9" s="160">
        <v>10</v>
      </c>
      <c r="H9" s="160">
        <v>14</v>
      </c>
      <c r="I9" s="160">
        <v>9</v>
      </c>
    </row>
    <row r="10" spans="1:9" x14ac:dyDescent="0.3">
      <c r="A10" s="160">
        <v>3</v>
      </c>
      <c r="B10" s="154">
        <v>3003</v>
      </c>
      <c r="C10" s="183" t="s">
        <v>268</v>
      </c>
      <c r="D10" s="160">
        <v>9</v>
      </c>
      <c r="E10" s="160">
        <v>8</v>
      </c>
      <c r="F10" s="160">
        <v>5</v>
      </c>
      <c r="G10" s="160">
        <v>7</v>
      </c>
      <c r="H10" s="160">
        <v>14</v>
      </c>
      <c r="I10" s="160">
        <v>5</v>
      </c>
    </row>
    <row r="11" spans="1:9" x14ac:dyDescent="0.3">
      <c r="A11" s="160">
        <v>4</v>
      </c>
      <c r="B11" s="154">
        <v>3004</v>
      </c>
      <c r="C11" s="183" t="s">
        <v>269</v>
      </c>
      <c r="D11" s="160">
        <v>8</v>
      </c>
      <c r="E11" s="160">
        <v>7</v>
      </c>
      <c r="F11" s="160">
        <v>5</v>
      </c>
      <c r="G11" s="160">
        <v>8</v>
      </c>
      <c r="H11" s="160">
        <v>10</v>
      </c>
      <c r="I11" s="160">
        <v>5</v>
      </c>
    </row>
    <row r="12" spans="1:9" x14ac:dyDescent="0.3">
      <c r="A12" s="160">
        <v>5</v>
      </c>
      <c r="B12" s="154">
        <v>3005</v>
      </c>
      <c r="C12" s="183" t="s">
        <v>270</v>
      </c>
      <c r="D12" s="160">
        <v>10</v>
      </c>
      <c r="E12" s="160">
        <v>14</v>
      </c>
      <c r="F12" s="160">
        <v>11</v>
      </c>
      <c r="G12" s="160">
        <v>8</v>
      </c>
      <c r="H12" s="160">
        <v>19</v>
      </c>
      <c r="I12" s="160">
        <v>11</v>
      </c>
    </row>
    <row r="13" spans="1:9" x14ac:dyDescent="0.3">
      <c r="A13" s="160">
        <v>6</v>
      </c>
      <c r="B13" s="154">
        <v>3006</v>
      </c>
      <c r="C13" s="183" t="s">
        <v>271</v>
      </c>
      <c r="D13" s="160">
        <v>8</v>
      </c>
      <c r="E13" s="160">
        <v>5</v>
      </c>
      <c r="F13" s="160">
        <v>7</v>
      </c>
      <c r="G13" s="160">
        <v>8</v>
      </c>
      <c r="H13" s="160">
        <v>10</v>
      </c>
      <c r="I13" s="160">
        <v>7</v>
      </c>
    </row>
    <row r="14" spans="1:9" x14ac:dyDescent="0.3">
      <c r="A14" s="160">
        <v>7</v>
      </c>
      <c r="B14" s="154">
        <v>3007</v>
      </c>
      <c r="C14" s="183" t="s">
        <v>272</v>
      </c>
      <c r="D14" s="160">
        <v>9</v>
      </c>
      <c r="E14" s="160">
        <v>6</v>
      </c>
      <c r="F14" s="160">
        <v>12</v>
      </c>
      <c r="G14" s="160">
        <v>13</v>
      </c>
      <c r="H14" s="160">
        <v>9</v>
      </c>
      <c r="I14" s="160">
        <v>12</v>
      </c>
    </row>
    <row r="15" spans="1:9" x14ac:dyDescent="0.3">
      <c r="A15" s="160">
        <v>8</v>
      </c>
      <c r="B15" s="154">
        <v>3008</v>
      </c>
      <c r="C15" s="183" t="s">
        <v>273</v>
      </c>
      <c r="D15" s="160">
        <v>8</v>
      </c>
      <c r="E15" s="160">
        <v>7</v>
      </c>
      <c r="F15" s="160">
        <v>5</v>
      </c>
      <c r="G15" s="160">
        <v>5</v>
      </c>
      <c r="H15" s="160">
        <v>10</v>
      </c>
      <c r="I15" s="160">
        <v>5</v>
      </c>
    </row>
    <row r="16" spans="1:9" x14ac:dyDescent="0.3">
      <c r="A16" s="160">
        <v>9</v>
      </c>
      <c r="B16" s="154">
        <v>3009</v>
      </c>
      <c r="C16" s="183" t="s">
        <v>274</v>
      </c>
      <c r="D16" s="160">
        <v>7</v>
      </c>
      <c r="E16" s="160">
        <v>7</v>
      </c>
      <c r="F16" s="160">
        <v>15</v>
      </c>
      <c r="G16" s="160">
        <v>5</v>
      </c>
      <c r="H16" s="160">
        <v>13</v>
      </c>
      <c r="I16" s="160">
        <v>15</v>
      </c>
    </row>
    <row r="17" spans="1:9" x14ac:dyDescent="0.3">
      <c r="A17" s="160">
        <v>10</v>
      </c>
      <c r="B17" s="154">
        <v>3010</v>
      </c>
      <c r="C17" s="183" t="s">
        <v>275</v>
      </c>
      <c r="D17" s="160">
        <v>12</v>
      </c>
      <c r="E17" s="160">
        <v>9</v>
      </c>
      <c r="F17" s="160">
        <v>6</v>
      </c>
      <c r="G17" s="160">
        <v>6</v>
      </c>
      <c r="H17" s="160">
        <v>9</v>
      </c>
      <c r="I17" s="160">
        <v>6</v>
      </c>
    </row>
    <row r="18" spans="1:9" x14ac:dyDescent="0.3">
      <c r="A18" s="160">
        <v>11</v>
      </c>
      <c r="B18" s="154">
        <v>3011</v>
      </c>
      <c r="C18" s="183" t="s">
        <v>276</v>
      </c>
      <c r="D18" s="160">
        <v>8</v>
      </c>
      <c r="E18" s="160">
        <v>6</v>
      </c>
      <c r="F18" s="160">
        <v>7</v>
      </c>
      <c r="G18" s="160">
        <v>15</v>
      </c>
      <c r="H18" s="160">
        <v>10</v>
      </c>
      <c r="I18" s="160">
        <v>7</v>
      </c>
    </row>
    <row r="19" spans="1:9" x14ac:dyDescent="0.3">
      <c r="A19" s="160">
        <v>12</v>
      </c>
      <c r="B19" s="154">
        <v>3012</v>
      </c>
      <c r="C19" s="183" t="s">
        <v>277</v>
      </c>
      <c r="D19" s="160">
        <v>8</v>
      </c>
      <c r="E19" s="160">
        <v>9</v>
      </c>
      <c r="F19" s="160">
        <v>11</v>
      </c>
      <c r="G19" s="160">
        <v>6</v>
      </c>
      <c r="H19" s="160">
        <v>9</v>
      </c>
      <c r="I19" s="160">
        <v>11</v>
      </c>
    </row>
    <row r="20" spans="1:9" x14ac:dyDescent="0.3">
      <c r="A20" s="160">
        <v>13</v>
      </c>
      <c r="B20" s="154">
        <v>3013</v>
      </c>
      <c r="C20" s="183" t="s">
        <v>278</v>
      </c>
      <c r="D20" s="160">
        <v>11</v>
      </c>
      <c r="E20" s="160">
        <v>9</v>
      </c>
      <c r="F20" s="160">
        <v>9</v>
      </c>
      <c r="G20" s="160">
        <v>16</v>
      </c>
      <c r="H20" s="160">
        <v>19</v>
      </c>
      <c r="I20" s="160">
        <v>9</v>
      </c>
    </row>
    <row r="21" spans="1:9" x14ac:dyDescent="0.3">
      <c r="A21" s="160">
        <v>14</v>
      </c>
      <c r="B21" s="154">
        <v>3014</v>
      </c>
      <c r="C21" s="183" t="s">
        <v>279</v>
      </c>
      <c r="D21" s="160">
        <v>8</v>
      </c>
      <c r="E21" s="160">
        <v>7</v>
      </c>
      <c r="F21" s="160">
        <v>7</v>
      </c>
      <c r="G21" s="160">
        <v>7</v>
      </c>
      <c r="H21" s="160">
        <v>15</v>
      </c>
      <c r="I21" s="160">
        <v>7</v>
      </c>
    </row>
    <row r="22" spans="1:9" x14ac:dyDescent="0.3">
      <c r="A22" s="160">
        <v>15</v>
      </c>
      <c r="B22" s="154">
        <v>3015</v>
      </c>
      <c r="C22" s="183" t="s">
        <v>280</v>
      </c>
      <c r="D22" s="160">
        <v>8</v>
      </c>
      <c r="E22" s="160">
        <v>8</v>
      </c>
      <c r="F22" s="160">
        <v>11</v>
      </c>
      <c r="G22" s="160">
        <v>6</v>
      </c>
      <c r="H22" s="160">
        <v>16</v>
      </c>
      <c r="I22" s="160">
        <v>11</v>
      </c>
    </row>
    <row r="23" spans="1:9" x14ac:dyDescent="0.3">
      <c r="A23" s="160">
        <v>16</v>
      </c>
      <c r="B23" s="154">
        <v>3016</v>
      </c>
      <c r="C23" s="183" t="s">
        <v>281</v>
      </c>
      <c r="D23" s="160">
        <v>11</v>
      </c>
      <c r="E23" s="160">
        <v>5</v>
      </c>
      <c r="F23" s="160">
        <v>9</v>
      </c>
      <c r="G23" s="160">
        <v>6</v>
      </c>
      <c r="H23" s="160">
        <v>13</v>
      </c>
      <c r="I23" s="160">
        <v>9</v>
      </c>
    </row>
    <row r="24" spans="1:9" x14ac:dyDescent="0.3">
      <c r="A24" s="160">
        <v>17</v>
      </c>
      <c r="B24" s="154">
        <v>3017</v>
      </c>
      <c r="C24" s="183" t="s">
        <v>282</v>
      </c>
      <c r="D24" s="160">
        <v>15</v>
      </c>
      <c r="E24" s="160">
        <v>13</v>
      </c>
      <c r="F24" s="160">
        <v>15</v>
      </c>
      <c r="G24" s="160">
        <v>5</v>
      </c>
      <c r="H24" s="160">
        <v>12</v>
      </c>
      <c r="I24" s="160">
        <v>15</v>
      </c>
    </row>
    <row r="25" spans="1:9" x14ac:dyDescent="0.3">
      <c r="A25" s="160">
        <v>18</v>
      </c>
      <c r="B25" s="154">
        <v>3018</v>
      </c>
      <c r="C25" s="183" t="s">
        <v>283</v>
      </c>
      <c r="D25" s="160">
        <v>9</v>
      </c>
      <c r="E25" s="160">
        <v>7</v>
      </c>
      <c r="F25" s="160">
        <v>7</v>
      </c>
      <c r="G25" s="160">
        <v>5</v>
      </c>
      <c r="H25" s="160">
        <v>6</v>
      </c>
      <c r="I25" s="160">
        <v>7</v>
      </c>
    </row>
    <row r="26" spans="1:9" x14ac:dyDescent="0.3">
      <c r="A26" s="160">
        <v>19</v>
      </c>
      <c r="B26" s="154">
        <v>3019</v>
      </c>
      <c r="C26" s="183" t="s">
        <v>284</v>
      </c>
      <c r="D26" s="160">
        <v>8</v>
      </c>
      <c r="E26" s="160">
        <v>5</v>
      </c>
      <c r="F26" s="160">
        <v>7</v>
      </c>
      <c r="G26" s="160">
        <v>5</v>
      </c>
      <c r="H26" s="160">
        <v>6</v>
      </c>
      <c r="I26" s="160">
        <v>7</v>
      </c>
    </row>
    <row r="27" spans="1:9" x14ac:dyDescent="0.3">
      <c r="A27" s="160">
        <v>20</v>
      </c>
      <c r="B27" s="154">
        <v>3020</v>
      </c>
      <c r="C27" s="183" t="s">
        <v>285</v>
      </c>
      <c r="D27" s="160">
        <v>15</v>
      </c>
      <c r="E27" s="160">
        <v>10</v>
      </c>
      <c r="F27" s="160">
        <v>9</v>
      </c>
      <c r="G27" s="160">
        <v>10</v>
      </c>
      <c r="H27" s="160">
        <v>13</v>
      </c>
      <c r="I27" s="160">
        <v>9</v>
      </c>
    </row>
    <row r="28" spans="1:9" x14ac:dyDescent="0.3">
      <c r="A28" s="160">
        <v>21</v>
      </c>
      <c r="B28" s="154">
        <v>3021</v>
      </c>
      <c r="C28" s="183" t="s">
        <v>286</v>
      </c>
      <c r="D28" s="160">
        <v>7</v>
      </c>
      <c r="E28" s="160">
        <v>6</v>
      </c>
      <c r="F28" s="160">
        <v>6</v>
      </c>
      <c r="G28" s="160">
        <v>5</v>
      </c>
      <c r="H28" s="160">
        <v>5</v>
      </c>
      <c r="I28" s="160">
        <v>6</v>
      </c>
    </row>
    <row r="29" spans="1:9" x14ac:dyDescent="0.3">
      <c r="A29" s="160">
        <v>22</v>
      </c>
      <c r="B29" s="154">
        <v>3022</v>
      </c>
      <c r="C29" s="183" t="s">
        <v>287</v>
      </c>
      <c r="D29" s="160">
        <v>8</v>
      </c>
      <c r="E29" s="160">
        <v>13</v>
      </c>
      <c r="F29" s="160">
        <v>16</v>
      </c>
      <c r="G29" s="160">
        <v>6</v>
      </c>
      <c r="H29" s="160">
        <v>9</v>
      </c>
      <c r="I29" s="160">
        <v>16</v>
      </c>
    </row>
    <row r="30" spans="1:9" x14ac:dyDescent="0.3">
      <c r="A30" s="160">
        <v>23</v>
      </c>
      <c r="B30" s="154">
        <v>3023</v>
      </c>
      <c r="C30" s="183" t="s">
        <v>288</v>
      </c>
      <c r="D30" s="160">
        <v>8</v>
      </c>
      <c r="E30" s="160">
        <v>5</v>
      </c>
      <c r="F30" s="160">
        <v>5</v>
      </c>
      <c r="G30" s="160">
        <v>5</v>
      </c>
      <c r="H30" s="160">
        <v>6</v>
      </c>
      <c r="I30" s="160">
        <v>5</v>
      </c>
    </row>
    <row r="31" spans="1:9" x14ac:dyDescent="0.3">
      <c r="A31" s="160">
        <v>24</v>
      </c>
      <c r="B31" s="154">
        <v>3024</v>
      </c>
      <c r="C31" s="183" t="s">
        <v>289</v>
      </c>
      <c r="D31" s="160">
        <v>8</v>
      </c>
      <c r="E31" s="160">
        <v>5</v>
      </c>
      <c r="F31" s="160">
        <v>7</v>
      </c>
      <c r="G31" s="160">
        <v>5</v>
      </c>
      <c r="H31" s="160">
        <v>8</v>
      </c>
      <c r="I31" s="160">
        <v>7</v>
      </c>
    </row>
  </sheetData>
  <mergeCells count="8">
    <mergeCell ref="D5:I5"/>
    <mergeCell ref="A1:H1"/>
    <mergeCell ref="A2:H2"/>
    <mergeCell ref="A3:H3"/>
    <mergeCell ref="A4:H4"/>
    <mergeCell ref="A5:A7"/>
    <mergeCell ref="B5:B7"/>
    <mergeCell ref="C5:C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Attainment-main</vt:lpstr>
      <vt:lpstr>PO mapping</vt:lpstr>
      <vt:lpstr>PSO mapping</vt:lpstr>
      <vt:lpstr>Examination</vt:lpstr>
      <vt:lpstr>Course End Survey</vt:lpstr>
      <vt:lpstr>Concurrent Assessment</vt:lpstr>
      <vt:lpstr>End Sem</vt:lpstr>
      <vt:lpstr>CO-wise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Dypiu</cp:lastModifiedBy>
  <dcterms:created xsi:type="dcterms:W3CDTF">2021-01-07T06:02:15Z</dcterms:created>
  <dcterms:modified xsi:type="dcterms:W3CDTF">2026-07-28T07:32:53Z</dcterms:modified>
</cp:coreProperties>
</file>